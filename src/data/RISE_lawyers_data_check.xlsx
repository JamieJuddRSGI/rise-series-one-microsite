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mieJudd\repo\Resight\Resight Website\Series One Microsite\rise-series-one-microsite\src\data\"/>
    </mc:Choice>
  </mc:AlternateContent>
  <xr:revisionPtr revIDLastSave="0" documentId="13_ncr:1_{D1FDFA48-DCE6-4BFC-A660-E8635F8A19D8}" xr6:coauthVersionLast="47" xr6:coauthVersionMax="47" xr10:uidLastSave="{00000000-0000-0000-0000-000000000000}"/>
  <bookViews>
    <workbookView xWindow="-4095" yWindow="-21720" windowWidth="38640" windowHeight="21120" activeTab="1" xr2:uid="{4E924D39-20BE-40C1-909D-236E273E9F07}"/>
  </bookViews>
  <sheets>
    <sheet name="NTFP Check" sheetId="5" r:id="rId1"/>
    <sheet name="RISE_lawyers" sheetId="1" r:id="rId2"/>
    <sheet name="All" sheetId="2" r:id="rId3"/>
    <sheet name="Private Capita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8" i="1" l="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157"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3" i="1"/>
  <c r="G4" i="1"/>
  <c r="G5" i="1"/>
  <c r="G6" i="1"/>
  <c r="G7" i="1"/>
  <c r="G8" i="1"/>
  <c r="G9" i="1"/>
  <c r="G10" i="1"/>
  <c r="G11" i="1"/>
  <c r="G12" i="1"/>
  <c r="G13" i="1"/>
  <c r="G14" i="1"/>
  <c r="G15" i="1"/>
  <c r="G16" i="1"/>
  <c r="G17" i="1"/>
  <c r="G18" i="1"/>
  <c r="G19" i="1"/>
  <c r="G20" i="1"/>
  <c r="G21" i="1"/>
  <c r="G22" i="1"/>
  <c r="G23" i="1"/>
  <c r="G24" i="1"/>
  <c r="G25" i="1"/>
  <c r="G26" i="1"/>
  <c r="G2"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157"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2" i="1"/>
</calcChain>
</file>

<file path=xl/sharedStrings.xml><?xml version="1.0" encoding="utf-8"?>
<sst xmlns="http://schemas.openxmlformats.org/spreadsheetml/2006/main" count="4741" uniqueCount="1027">
  <si>
    <t>Resight ID</t>
  </si>
  <si>
    <t>Rankings</t>
  </si>
  <si>
    <t>Name</t>
  </si>
  <si>
    <t>Position</t>
  </si>
  <si>
    <t>Location</t>
  </si>
  <si>
    <t>Organisation</t>
  </si>
  <si>
    <t>Bio</t>
  </si>
  <si>
    <t>Sophistication score</t>
  </si>
  <si>
    <t>S Tech and data</t>
  </si>
  <si>
    <t>S Pricing</t>
  </si>
  <si>
    <t>S Talent development</t>
  </si>
  <si>
    <t>Experience score</t>
  </si>
  <si>
    <t>E Service</t>
  </si>
  <si>
    <t>E Expertise</t>
  </si>
  <si>
    <t>E Commerciality</t>
  </si>
  <si>
    <t>E Communication</t>
  </si>
  <si>
    <t>E EQ</t>
  </si>
  <si>
    <t>E Strategy</t>
  </si>
  <si>
    <t>E Network</t>
  </si>
  <si>
    <t>E Leadership</t>
  </si>
  <si>
    <t>IND00020</t>
  </si>
  <si>
    <t>Arbitration</t>
  </si>
  <si>
    <t>Ajay Bhargava</t>
  </si>
  <si>
    <t>Partner</t>
  </si>
  <si>
    <t>Delhi</t>
  </si>
  <si>
    <t>Khaitan &amp; Co</t>
  </si>
  <si>
    <t>-</t>
  </si>
  <si>
    <t>IND07515</t>
  </si>
  <si>
    <t>Ashim Sood</t>
  </si>
  <si>
    <t>Principal</t>
  </si>
  <si>
    <t>Ashim Sood Law Offices</t>
  </si>
  <si>
    <t>IND00712</t>
  </si>
  <si>
    <t>Ashish Bhan</t>
  </si>
  <si>
    <t>Trilegal</t>
  </si>
  <si>
    <t>IND00439</t>
  </si>
  <si>
    <t>Binsy Susan</t>
  </si>
  <si>
    <t>Shardul Amarchand Mangaldas &amp; Co</t>
  </si>
  <si>
    <t>IND00064</t>
  </si>
  <si>
    <t>Chakrapani Misra</t>
  </si>
  <si>
    <t>Mumbai</t>
  </si>
  <si>
    <t>IND01936</t>
  </si>
  <si>
    <t>Dheeraj Nair</t>
  </si>
  <si>
    <t>JSA Advocates &amp; Solicitors</t>
  </si>
  <si>
    <t>IND00456</t>
  </si>
  <si>
    <t>Ila Kapoor</t>
  </si>
  <si>
    <t>IND00327</t>
  </si>
  <si>
    <t>Indranil Deshmukh</t>
  </si>
  <si>
    <t>Partner &amp; Head of Disputes</t>
  </si>
  <si>
    <t>Cyril Amarchand Mangaldas</t>
  </si>
  <si>
    <t>IND00337</t>
  </si>
  <si>
    <t>Kapil Arora</t>
  </si>
  <si>
    <t>IND00739</t>
  </si>
  <si>
    <t>Ketan Gaur</t>
  </si>
  <si>
    <t>IND00112</t>
  </si>
  <si>
    <t>Kingshuk Banerjee</t>
  </si>
  <si>
    <t>IND00345</t>
  </si>
  <si>
    <t>Lomesh Nidumuri</t>
  </si>
  <si>
    <t>Bengaluru</t>
  </si>
  <si>
    <t>IND02739</t>
  </si>
  <si>
    <t>Manmeet Singh</t>
  </si>
  <si>
    <t>Senior Partner</t>
  </si>
  <si>
    <t>IND07512</t>
  </si>
  <si>
    <t>Manoj K Singh</t>
  </si>
  <si>
    <t>Founding Partner</t>
  </si>
  <si>
    <t>S&amp;A Law Offices</t>
  </si>
  <si>
    <t>IND01508</t>
  </si>
  <si>
    <t>Naresh Thacker</t>
  </si>
  <si>
    <t>Counsel</t>
  </si>
  <si>
    <t>Chambers of Naresh Thacker</t>
  </si>
  <si>
    <t>IND00761</t>
  </si>
  <si>
    <t>Nitesh Jain</t>
  </si>
  <si>
    <t>IND00663</t>
  </si>
  <si>
    <t>Priyanka Shetty</t>
  </si>
  <si>
    <t>AZB &amp; Partners</t>
  </si>
  <si>
    <t>IND00589</t>
  </si>
  <si>
    <t>Rajendra Barot</t>
  </si>
  <si>
    <t>IND00929</t>
  </si>
  <si>
    <t>Sameer Tapia</t>
  </si>
  <si>
    <t>Founder &amp; Senior Partner</t>
  </si>
  <si>
    <t>ALMT Legal</t>
  </si>
  <si>
    <t>IND00197</t>
  </si>
  <si>
    <t>Sanjeev K Kapoor</t>
  </si>
  <si>
    <t>IND00386</t>
  </si>
  <si>
    <t>Shaneen Parikh</t>
  </si>
  <si>
    <t>Partner (Head - International Arbitration)</t>
  </si>
  <si>
    <t>IND00788</t>
  </si>
  <si>
    <t>Shankh Sengupta</t>
  </si>
  <si>
    <t>IND00540</t>
  </si>
  <si>
    <t>Smarika Singh</t>
  </si>
  <si>
    <t>IND01048</t>
  </si>
  <si>
    <t>Sneha Jaisingh</t>
  </si>
  <si>
    <t>Bharucha &amp; Partners</t>
  </si>
  <si>
    <t>IND07574</t>
  </si>
  <si>
    <t>Sooraj Sharma</t>
  </si>
  <si>
    <t>Clavius Legal</t>
  </si>
  <si>
    <t>IND02569</t>
  </si>
  <si>
    <t>Suvigya Awasthy</t>
  </si>
  <si>
    <t>PSL Advocates &amp; Solicitors</t>
  </si>
  <si>
    <t>IND00801</t>
  </si>
  <si>
    <t>Tine Abraham</t>
  </si>
  <si>
    <t>IND00602</t>
  </si>
  <si>
    <t>Vijayendra Pratap Singh</t>
  </si>
  <si>
    <t>IND02504</t>
  </si>
  <si>
    <t>Vyapak Desai</t>
  </si>
  <si>
    <t>Vyapak Desai Law Chambers</t>
  </si>
  <si>
    <t>IND02631</t>
  </si>
  <si>
    <t>Gunita Pahwa</t>
  </si>
  <si>
    <t>Joint Managing Partner</t>
  </si>
  <si>
    <t>Gurugram</t>
  </si>
  <si>
    <t>IND02534</t>
  </si>
  <si>
    <t>Capital Markets - Debt</t>
  </si>
  <si>
    <t>Aditya Bhargava</t>
  </si>
  <si>
    <t>IND00120</t>
  </si>
  <si>
    <t>Manisha Shroff</t>
  </si>
  <si>
    <t>IND07528</t>
  </si>
  <si>
    <t>Niloufer Lam</t>
  </si>
  <si>
    <t>NL LEGAL</t>
  </si>
  <si>
    <t>IND02940</t>
  </si>
  <si>
    <t>Priyanka Kumar</t>
  </si>
  <si>
    <t>TT&amp;A</t>
  </si>
  <si>
    <t>IND02962</t>
  </si>
  <si>
    <t>Rahul Gulati</t>
  </si>
  <si>
    <t>IND02750</t>
  </si>
  <si>
    <t>Satadru Goswami</t>
  </si>
  <si>
    <t>Saraf and Partners</t>
  </si>
  <si>
    <t>IND00536</t>
  </si>
  <si>
    <t>Shubhangi Garg</t>
  </si>
  <si>
    <t>IND02109</t>
  </si>
  <si>
    <t>Uttara M. Kolhatkar</t>
  </si>
  <si>
    <t>IND00398</t>
  </si>
  <si>
    <t>Capital Markets - Debt; Private Capital</t>
  </si>
  <si>
    <t>Subhalakshmi Naskar</t>
  </si>
  <si>
    <t>IND04763</t>
  </si>
  <si>
    <t>Pranav Sharma</t>
  </si>
  <si>
    <t>IND06252</t>
  </si>
  <si>
    <t>Capital Markets - Equity</t>
  </si>
  <si>
    <t>Aashima Johur</t>
  </si>
  <si>
    <t>IND00004</t>
  </si>
  <si>
    <t>Aayush Mohata</t>
  </si>
  <si>
    <t>IND00005</t>
  </si>
  <si>
    <t>Abhimanyu Bhattacharya</t>
  </si>
  <si>
    <t>IND00271</t>
  </si>
  <si>
    <t>Abhinav Kumar</t>
  </si>
  <si>
    <t>IND03708</t>
  </si>
  <si>
    <t>Abhinav Maker</t>
  </si>
  <si>
    <t>IND00406</t>
  </si>
  <si>
    <t>Abhiroop Datta</t>
  </si>
  <si>
    <t>IND01705</t>
  </si>
  <si>
    <t>Abhiroop Lahiri</t>
  </si>
  <si>
    <t>IND00016</t>
  </si>
  <si>
    <t>Aditya George Cheriyan</t>
  </si>
  <si>
    <t>IND00698</t>
  </si>
  <si>
    <t>Albin Thomas</t>
  </si>
  <si>
    <t>IND01915</t>
  </si>
  <si>
    <t>Arka Mookerjee</t>
  </si>
  <si>
    <t>IND00715</t>
  </si>
  <si>
    <t>Bhakta Patnaik</t>
  </si>
  <si>
    <t>IND00716</t>
  </si>
  <si>
    <t>Brajendu Bhaskar</t>
  </si>
  <si>
    <t>IND00090</t>
  </si>
  <si>
    <t>Gautham Srinivas</t>
  </si>
  <si>
    <t>IND00323</t>
  </si>
  <si>
    <t>Gokul Rajan</t>
  </si>
  <si>
    <t>Partner - Regional Head Markets Practice (North)</t>
  </si>
  <si>
    <t>IND02635</t>
  </si>
  <si>
    <t>Jabarati Chandra</t>
  </si>
  <si>
    <t>S&amp;R Associates</t>
  </si>
  <si>
    <t>IND02649</t>
  </si>
  <si>
    <t>Jitesh Shahani</t>
  </si>
  <si>
    <t>IND02650</t>
  </si>
  <si>
    <t>Juhi Singh</t>
  </si>
  <si>
    <t>IND00579</t>
  </si>
  <si>
    <t>Lionel D'Almeida</t>
  </si>
  <si>
    <t>IND01975</t>
  </si>
  <si>
    <t>Madhurima Mukherjee (Saha)</t>
  </si>
  <si>
    <t>IND01732</t>
  </si>
  <si>
    <t>Manan Lahoty</t>
  </si>
  <si>
    <t>IND00494</t>
  </si>
  <si>
    <t>Nikhil Naredi</t>
  </si>
  <si>
    <t>IND00140</t>
  </si>
  <si>
    <t>Oishik Bagchi</t>
  </si>
  <si>
    <t>IND02009</t>
  </si>
  <si>
    <t>Pracheta Bhattacharya</t>
  </si>
  <si>
    <t>IND07590</t>
  </si>
  <si>
    <t>Prashaant Vikram Rajput</t>
  </si>
  <si>
    <t>Economic Laws Practice</t>
  </si>
  <si>
    <t>IND00502</t>
  </si>
  <si>
    <t>Prashant Gupta</t>
  </si>
  <si>
    <t>IND01744</t>
  </si>
  <si>
    <t>Priyadarshini Rao</t>
  </si>
  <si>
    <t>IND01752</t>
  </si>
  <si>
    <t>Ravi Dubey</t>
  </si>
  <si>
    <t>IND00371</t>
  </si>
  <si>
    <t>Reuben Chacko</t>
  </si>
  <si>
    <t>IND00777</t>
  </si>
  <si>
    <t>Richa Choudhary</t>
  </si>
  <si>
    <t>IND02634</t>
  </si>
  <si>
    <t>Sandip Bhagat</t>
  </si>
  <si>
    <t>IND00229</t>
  </si>
  <si>
    <t>Sudhir Bassi</t>
  </si>
  <si>
    <t>Executive Director</t>
  </si>
  <si>
    <t>IND00245</t>
  </si>
  <si>
    <t>Thomas George</t>
  </si>
  <si>
    <t>IND00601</t>
  </si>
  <si>
    <t>Varoon Chandra</t>
  </si>
  <si>
    <t>IND00552</t>
  </si>
  <si>
    <t>Veena Sivaramakrishnan</t>
  </si>
  <si>
    <t>IND03138</t>
  </si>
  <si>
    <t>Vijay Parthasarathi</t>
  </si>
  <si>
    <t>Partner  &amp; Regional Co-Head of Markets</t>
  </si>
  <si>
    <t>IND03141</t>
  </si>
  <si>
    <t>Vinay Sirohia</t>
  </si>
  <si>
    <t>IND01774</t>
  </si>
  <si>
    <t>Vishal Yaduvanshi</t>
  </si>
  <si>
    <t>Co-Head of Capital Markets Practice (North)</t>
  </si>
  <si>
    <t>IND01046</t>
  </si>
  <si>
    <t>Vishnu Dutt U</t>
  </si>
  <si>
    <t>IND03123</t>
  </si>
  <si>
    <t>Yash J. Ashar</t>
  </si>
  <si>
    <t>Partner &amp; Head of Capital Markets</t>
  </si>
  <si>
    <t>IND02647</t>
  </si>
  <si>
    <t>Pratichi Mishra</t>
  </si>
  <si>
    <t>IND01474</t>
  </si>
  <si>
    <t>Competition</t>
  </si>
  <si>
    <t>Abhay Joshi</t>
  </si>
  <si>
    <t>IND07656</t>
  </si>
  <si>
    <t>Abir Roy</t>
  </si>
  <si>
    <t>Co-founder &amp; Partner</t>
  </si>
  <si>
    <t>Sarvada Legal</t>
  </si>
  <si>
    <t>IND02656</t>
  </si>
  <si>
    <t>Akshat Kulshrestha</t>
  </si>
  <si>
    <t>IND00033</t>
  </si>
  <si>
    <t>Anisha Chand</t>
  </si>
  <si>
    <t>IND00038</t>
  </si>
  <si>
    <t>Anshuman Sakle</t>
  </si>
  <si>
    <t>IND00428</t>
  </si>
  <si>
    <t>Aparna Mehra</t>
  </si>
  <si>
    <t>IND00301</t>
  </si>
  <si>
    <t>Avaantika Kakkar</t>
  </si>
  <si>
    <t>Partner (Head - Competition Law)</t>
  </si>
  <si>
    <t>IND01150</t>
  </si>
  <si>
    <t>Avinash Amarnath</t>
  </si>
  <si>
    <t>Partner &amp; Head of Competition and Disputes</t>
  </si>
  <si>
    <t>Hyderabad</t>
  </si>
  <si>
    <t>Chandhiok &amp; Mahajan</t>
  </si>
  <si>
    <t>IND00628</t>
  </si>
  <si>
    <t>Bharat Budholia</t>
  </si>
  <si>
    <t>IND01161</t>
  </si>
  <si>
    <t>Deeksha Manchanda</t>
  </si>
  <si>
    <t>Partner - Competition and Data Privacy</t>
  </si>
  <si>
    <t>IND00314</t>
  </si>
  <si>
    <t>Dhruv Rajain</t>
  </si>
  <si>
    <t>IND01943</t>
  </si>
  <si>
    <t>Ela Bali</t>
  </si>
  <si>
    <t>IND02909</t>
  </si>
  <si>
    <t>Gaurav Desai</t>
  </si>
  <si>
    <t>Touchstone Partners</t>
  </si>
  <si>
    <t>IND00451</t>
  </si>
  <si>
    <t>Gauri Chhabra</t>
  </si>
  <si>
    <t>IND00726</t>
  </si>
  <si>
    <t>Gautam Chawla</t>
  </si>
  <si>
    <t>IND00454</t>
  </si>
  <si>
    <t>Harman Singh Sandhu</t>
  </si>
  <si>
    <t>IND00639</t>
  </si>
  <si>
    <t>Hemangini Dadwal</t>
  </si>
  <si>
    <t>IND01160</t>
  </si>
  <si>
    <t>Karan Chandhiok</t>
  </si>
  <si>
    <t>IND04713</t>
  </si>
  <si>
    <t>Kirthi Srinivas</t>
  </si>
  <si>
    <t>IND00118</t>
  </si>
  <si>
    <t>Manas Kumar Chaudhuri</t>
  </si>
  <si>
    <t>IND00490</t>
  </si>
  <si>
    <t>Naval Satarawala Chopra</t>
  </si>
  <si>
    <t>IND02231</t>
  </si>
  <si>
    <t>Neelambera Sandeepan</t>
  </si>
  <si>
    <t>Lakshmikumaran &amp; Sridharan</t>
  </si>
  <si>
    <t>IND00759</t>
  </si>
  <si>
    <t>Nisha Kaur Uberoi</t>
  </si>
  <si>
    <t>IND00153</t>
  </si>
  <si>
    <t>Pranjal Prateek</t>
  </si>
  <si>
    <t>IND00966</t>
  </si>
  <si>
    <t>Rahul Goel</t>
  </si>
  <si>
    <t>AnantLaw</t>
  </si>
  <si>
    <t>IND01031</t>
  </si>
  <si>
    <t>Rahul Rai</t>
  </si>
  <si>
    <t>Axiom 5</t>
  </si>
  <si>
    <t>IND00590</t>
  </si>
  <si>
    <t>Ram Kumar Poornachandran</t>
  </si>
  <si>
    <t>IND01516</t>
  </si>
  <si>
    <t>Ravisekhar Nair</t>
  </si>
  <si>
    <t>IND00511</t>
  </si>
  <si>
    <t>Rohan Arora</t>
  </si>
  <si>
    <t>IND00780</t>
  </si>
  <si>
    <t>Rudresh Singh</t>
  </si>
  <si>
    <t>IND01030</t>
  </si>
  <si>
    <t>Samir R Gandhi</t>
  </si>
  <si>
    <t>Axiom5</t>
  </si>
  <si>
    <t>IND00537</t>
  </si>
  <si>
    <t>Shweta Shroff Chopra</t>
  </si>
  <si>
    <t>IND02652</t>
  </si>
  <si>
    <t>Simran Dhir</t>
  </si>
  <si>
    <t>Head Of Competition Law Practice</t>
  </si>
  <si>
    <t>IND02948</t>
  </si>
  <si>
    <t>Sonam Mathur</t>
  </si>
  <si>
    <t>IND01772</t>
  </si>
  <si>
    <t>Unnati Agrawal</t>
  </si>
  <si>
    <t>CMS INDUSLAW</t>
  </si>
  <si>
    <t>IND02110</t>
  </si>
  <si>
    <t>Vaibhav Choukse</t>
  </si>
  <si>
    <t>IND03139</t>
  </si>
  <si>
    <t>Vijay Pratap Singh Chauhan</t>
  </si>
  <si>
    <t>IND00553</t>
  </si>
  <si>
    <t>Yaman Verma</t>
  </si>
  <si>
    <t>IND00968</t>
  </si>
  <si>
    <t>Competition; International Trade</t>
  </si>
  <si>
    <t>Anu Monga</t>
  </si>
  <si>
    <t>IND01511</t>
  </si>
  <si>
    <t>Parthsarathi Jha</t>
  </si>
  <si>
    <t>IND05097</t>
  </si>
  <si>
    <t>Cyber</t>
  </si>
  <si>
    <t>Aadya Misra</t>
  </si>
  <si>
    <t>Spice Route Legal</t>
  </si>
  <si>
    <t>IND04874</t>
  </si>
  <si>
    <t>Akash Karmakar</t>
  </si>
  <si>
    <t>Panag &amp; Babu</t>
  </si>
  <si>
    <t>IND00291</t>
  </si>
  <si>
    <t>Anirban Mohapatra</t>
  </si>
  <si>
    <t>IND00298</t>
  </si>
  <si>
    <t>Arun Prabhu</t>
  </si>
  <si>
    <t>IND00095</t>
  </si>
  <si>
    <t>Harsh Walia</t>
  </si>
  <si>
    <t>IND00455</t>
  </si>
  <si>
    <t>Hemant Krishna</t>
  </si>
  <si>
    <t>IND00732</t>
  </si>
  <si>
    <t>Jaideep Reddy</t>
  </si>
  <si>
    <t>IND00734</t>
  </si>
  <si>
    <t>Jyotsna Jayaram</t>
  </si>
  <si>
    <t>IND03226</t>
  </si>
  <si>
    <t>Mathew Chacko</t>
  </si>
  <si>
    <t>IND01738</t>
  </si>
  <si>
    <t>Namita Viswanath</t>
  </si>
  <si>
    <t>IND07527</t>
  </si>
  <si>
    <t>Nehaa Chaudhari</t>
  </si>
  <si>
    <t>Ikigai Law</t>
  </si>
  <si>
    <t>IND00757</t>
  </si>
  <si>
    <t>Nikhil Narendran</t>
  </si>
  <si>
    <t>IND02023</t>
  </si>
  <si>
    <t>Probir Roy Chowdhury</t>
  </si>
  <si>
    <t>IND01749</t>
  </si>
  <si>
    <t>Ranjana Adhikari</t>
  </si>
  <si>
    <t>IND04894</t>
  </si>
  <si>
    <t>Rishi Anand</t>
  </si>
  <si>
    <t>DSK Legal</t>
  </si>
  <si>
    <t>IND02052</t>
  </si>
  <si>
    <t>Sajai Singh</t>
  </si>
  <si>
    <t>IND01762</t>
  </si>
  <si>
    <t>Shreya Suri</t>
  </si>
  <si>
    <t>IND07530</t>
  </si>
  <si>
    <t>Sreenidhi Srinivasan</t>
  </si>
  <si>
    <t>IND00235</t>
  </si>
  <si>
    <t>Supratim Chakraborty</t>
  </si>
  <si>
    <t>Kolkata</t>
  </si>
  <si>
    <t>IND07526</t>
  </si>
  <si>
    <t>Utham Chengappa</t>
  </si>
  <si>
    <t>Mani Chengappa &amp; Mathur</t>
  </si>
  <si>
    <t>IND02646</t>
  </si>
  <si>
    <t>International Trade</t>
  </si>
  <si>
    <t>Ajinkya Gunjan Mishra</t>
  </si>
  <si>
    <t>IND02193</t>
  </si>
  <si>
    <t>Ankur Sharma</t>
  </si>
  <si>
    <t>IND07570</t>
  </si>
  <si>
    <t>Anuradha R V</t>
  </si>
  <si>
    <t>Clarus Law Associates</t>
  </si>
  <si>
    <t>IND01267</t>
  </si>
  <si>
    <t>Ashish Chandra</t>
  </si>
  <si>
    <t>IND07689</t>
  </si>
  <si>
    <t>Atul Sharma</t>
  </si>
  <si>
    <t>IND00059</t>
  </si>
  <si>
    <t>Ayush Mehrotra</t>
  </si>
  <si>
    <t>IND02203</t>
  </si>
  <si>
    <t>Devinder Bagia</t>
  </si>
  <si>
    <t>IND00723</t>
  </si>
  <si>
    <t>Dhruv Gupta</t>
  </si>
  <si>
    <t>IND00121</t>
  </si>
  <si>
    <t>Mayank Jain</t>
  </si>
  <si>
    <t>IND02989</t>
  </si>
  <si>
    <t>Rajat Agarwal</t>
  </si>
  <si>
    <t>VERTICES PARTNERS</t>
  </si>
  <si>
    <t>IND07621</t>
  </si>
  <si>
    <t>Reena Khair</t>
  </si>
  <si>
    <t>Kochhar &amp; Co</t>
  </si>
  <si>
    <t>IND01522</t>
  </si>
  <si>
    <t>Sanjay Notani</t>
  </si>
  <si>
    <t>IND07657</t>
  </si>
  <si>
    <t>Seetharaman Sampath</t>
  </si>
  <si>
    <t>IND00250</t>
  </si>
  <si>
    <t>Udayan Choksi</t>
  </si>
  <si>
    <t>Veritas Legal</t>
  </si>
  <si>
    <t>IND02274</t>
  </si>
  <si>
    <t>V. Lakshmikumaran</t>
  </si>
  <si>
    <t>Founder &amp; Managing Partner</t>
  </si>
  <si>
    <t>IND02976</t>
  </si>
  <si>
    <t>Private Capital</t>
  </si>
  <si>
    <t>Abhijit Joshi</t>
  </si>
  <si>
    <t>Founding &amp; Managing Partner</t>
  </si>
  <si>
    <t>Abhijit Joshi is the founder and managing partner of Veritas Legal and maintains a top-quality private equity practice. Abhijit has built expertiseÂ in e-commerce, chemicals and pharmaceuticals, sectors where regulatory complexity intersects with commercial sophistication. _x000D_
_x000D_
Placed in the Top 10 for instructions, Abhijitâ€™s client relationships include some of the market's most sophisticated institutions, including KKR, Brookfield Asset Management,Â KedaaraÂ Capital, Partners Group and 360 One. The quality of his client bases gives him one of the tops scores in the market against this metric. _x000D_
_x000D_
Abhijit has a strong reputation featuring frequently in the media and in directory rankings. _x000D_
_x000D_
What distinguishes Abhijit's practice is his appetite for highly complex deals, gravitating towards transactions that demand intricate structuring and deep technical expertise regardless of size.Â </t>
  </si>
  <si>
    <t>IND00696</t>
  </si>
  <si>
    <t>Aditya Jha</t>
  </si>
  <si>
    <t xml:space="preserve">Aditya Jha advises leading domestic and global sponsors on private equity and fund formation matters, including repeat mandates for Edelweiss, A91 Partners, IFC, ICICI and Morgan Stanley. Adityaâ€™s instruction score is above the market average, having completed a high number of deals during the research period. His portfolio also reflects experience supporting sponsors through high-value exits and secondary monetisation._x000D_
_x000D_
His approach is highly execution-focused, balancing investor negotiation with regulatory accuracy. He integrates automation tools, market data and blended pricing to provide greater cost predictability. Trilegal is advanced in its attitude to technology, andÂ is experimenting with deployingÂ leaner teams augmented by AI. Aditya receives a top score for his use of deal data and analytics in his practice. </t>
  </si>
  <si>
    <t>IND00701</t>
  </si>
  <si>
    <t>Amit Khansaheb</t>
  </si>
  <si>
    <t xml:space="preserve">Amit Khansaheb advises sponsors including TA Associates, Lightrock, Lightspeed, Faering Capital and Greater Pacific Capital across both growth capital and control investments. His practice spans healthcare, consumer, technology and renewable industries. Repeat engagements reflect client confidence._x000D_
_x000D_
He shapes governance and investor protections to match business maturity, keeping negotiations commercial without losing sight of risk. Amit co-ordinates institutional knowledge across his mandates, ensuring consistent execution on key terms such as indemnity structuring and regulatory touchpoints._x000D_
_x000D_
Directory recognition and co-lead roles on significant mandates like A91 Partners Fund III underscore Amit'sÂ strong market profile. His growing status as an adviser for sponsors operating in competitive deal environments is driving more demand for his advice.  </t>
  </si>
  <si>
    <t>IND00566</t>
  </si>
  <si>
    <t>Anil Kasturi</t>
  </si>
  <si>
    <t>Anil Kasturi, a senior partner at AZB &amp; Partners, has developed a broad private equity, venture capital and private credit practice. With one of the best reputations in the market, Anil is placed in the Top 10, with particularly strong recognition in legal directories._x000D_
_x000D_
His client relationships include Everstone Capital and Warburg Pincus, amongst other top  investment houses. His philosophy towards legal advice emphasises providing a holistic perspective beyond pure technical analysis and ensuring availability to clients. _x000D_
_x000D_
The firm platform at AZB provides an opportunity to service complex, high-value private equity mandates.</t>
  </si>
  <si>
    <t>IND00569</t>
  </si>
  <si>
    <t>Ashwath Rau</t>
  </si>
  <si>
    <t>Ashwath Rau has the highest reputationÂ in India's private capital market, receiving the most client recommendations and peer mentions of any lawyer. His blue-chip client base includes KKR, Bain, Carlyle, BlackRock and PAG._x000D_
_x000D_
Clients commend his strategic thinking and ability to navigate complex legal and commercial problems with clarity. Working closely with firm managing partner Zia Mody, he plays a central role in shaping AZB's growth and strategic direction._x000D_
_x000D_
Clients describe his approach as deliberate, combining regulatory expertise with commercial judgment on consequential transactions. He brings technical mastery to deals involving intricate structures and high-stakes negotiations._x000D_
_x000D_
Ashwath's ranking reflects a practice built on institutional trust and market-leading deal flow. He is viewed as a senior figure whose judgment shapes outcomes on India's most significant private capital mandates.</t>
  </si>
  <si>
    <t>IND00060</t>
  </si>
  <si>
    <t>Bharat Anand</t>
  </si>
  <si>
    <t>Bharat Anand places first in the market for practice sophistication, with top scores in technology, data-driven practice and pricing models. He employs AI for drafting and summarisation, uses bots to produce due diligence notes, and runs data analytics to support client work. His clients increasingly request these AI capabilities as adoption moves mainstream._x000D_
_x000D_
Bharat has good instruction scores for clients and deal volume. Clients include Lightspeed, Peak XV Partners andÂ ChrysCapital, and he has done significant work in the  pharma and healthcare sector._x000D_
_x000D_
Clients gave strong scores for Bharatâ€™s strategy and leadership, important to sustaining the high-volume institutional relationships that define his practice.</t>
  </si>
  <si>
    <t>IND00573</t>
  </si>
  <si>
    <t>Darshika Kothari</t>
  </si>
  <si>
    <t xml:space="preserve">Darshika Kothari's client roster includes KKR, TA Associates, Fairfax and New Mountain Capital, and approximately 70% of her work is on cross-border transactions. _x000D_
_x000D_
At AZB &amp; Partners, her practice model emphasises lean teams and operational efficiency. She champions technology adoption and has helped develop a proprietary database that tracks client negotiating positions across transactions, enabling her team to mine historical deal data._x000D_
_x000D_
Darshika's practice combines high-value execution with one of the most data-enabled practices in the market. She has a high media profile in the private capital field and received strong client experience scores across all indicators. </t>
  </si>
  <si>
    <t>IND00066</t>
  </si>
  <si>
    <t>Deepak Jodhani</t>
  </si>
  <si>
    <t>Deepak Jodhani receives high scores for service, commerciality, strategy and emotional intelligence. In the past 12 months, he has acted on complex, high-value transactions, including advising Blackstone on its $366mn acquisition of Kolkata's South City Mall, one of eastern India's largest private equity real estate deals._x000D_
_x000D_
Sophistication indicators reflect active use of AI-driven drafting, analytics and post-deal feedback data, distinguishing his practice from traditional models._x000D_
_x000D_
Clients value Deepak'sÂ technical capability on significant real estate transactions.</t>
  </si>
  <si>
    <t>IND00074</t>
  </si>
  <si>
    <t>Divaspathi Singh</t>
  </si>
  <si>
    <t xml:space="preserve">Divaspati Singh has built a strong market position in India-focused private capital fund formation, particularly across AIFs and GIFT City structures. His mandates include work for TPG, Edelweiss, IFC, Kotak and White Oak, reflecting trust from institutional clients who repeatedly engage him for multi-fund platforms. A standout matter is his role on Kedaara Capital's fourth fund, which closed at around $1.73bnÂ and ranks among the largest India-focused private equity funds raised by a domestic manager._x000D_
_x000D_
Strong points include his navigation of regulatory frameworks, his negotiation on investor terms and a commercial approach that prioritises clarity and deal execution. HeÂ uses firm-wide data, automation tools and flexible pricing models to provide predictable, market-aligned advice._x000D_
_x000D_
Divaspati's combination of complex fund mandates, recurring institutional clients, leading use of technology and data, and strong qualitative feedback places him in this ranking of top private capital lawyers in India. </t>
  </si>
  <si>
    <t>IND00724</t>
  </si>
  <si>
    <t>Ganesh Rao</t>
  </si>
  <si>
    <t>Ganesh Rao is a private equity and private credit partner at Trilegal with a strong client base of leading global sponsors and firms active in the private credit space. His client list includes Ares, Blackstone, Edelweiss, Morgan Stanley, Apollo, Goldman Sachs, ICICI Venture and PAG._x000D_
_x000D_
His practice spans sponsor-led financings, private equity investments and structured credit, anchored by repeat work from international institutions deploying capital into India. Instruction metrics indicate both a high volume of deals and instruction on complex and high-value mandates._x000D_
_x000D_
The breadth of top tier institutional relationships and the consistency of Ganesh's portfolio point to a practitioner with growing influence across private equity and private credit transactions.</t>
  </si>
  <si>
    <t>IND02949</t>
  </si>
  <si>
    <t>Gautam Saha</t>
  </si>
  <si>
    <t>Gautam Saha's Top 10 reputation ranking stems from exceptional peer recognition, comprehensive directory acknowledgement, and extensive media profile across India's private capital market. His joint managing partner role at TT&amp;A Advocates positions him at the intersection of private equity, venture capital and private credit, where his strategic oversight combines with technical excellence._x000D_
_x000D_
His instruction volume demonstrates consistent mandates from premier institutional clients. While he has acted for many leading private capital investors over the years, in the 12-month period analysed, Gautam's client list was more limited.Â It includedÂ Setu AIF Trust, IFC and DFC. Gautam is known for the high-value, technically complex nature of his internationally-focused practice spanning M&amp;A and structured financing._x000D_
_x000D_
Gautam's practice stands out for a strongÂ client relationship focus. His pragmatic negotiation skills, understanding of client objectives and strategic thinking distinguish his approach.</t>
  </si>
  <si>
    <t>IND01232</t>
  </si>
  <si>
    <t>Gunjan Shah</t>
  </si>
  <si>
    <t>Shardul Amarchand Mangaldas &amp; Co.</t>
  </si>
  <si>
    <t>Gunjan Shahâ€™s acts for leading investors including ChrysCapital, TPG, Bain Capital Credit, Apollo Global Management, CVC Capital Partners, Think Investments andÂ Alphawave. Her work for ChrysCapital, one of India's largest domestic investors, demonstrates the trust placed in her by home-grown institutional capital._x000D_
_x000D_
Considered a senior and leading practitioner in the private equity space, Gunjan had a lower profile in 12 month period of the research than usual. She advises on both public and private deals, specialising in structured products that go beyond straight equity, including debt-like and semi-equity instruments. Her practice encompasses minority investments, buyouts and investments in stressed assets._x000D_
_x000D_
Gunjan's ability to innovate with new financial products positions her as a creative problem-solver for funds seeking sophisticated structuring. Crucially, she combinesÂ technical mastery of complex capital structures with knowledgeÂ of how to deploy these tools to achieve commercial objectives in India's dynamic private capital market.</t>
  </si>
  <si>
    <t>IND00092</t>
  </si>
  <si>
    <t>Haigreve Khaitan</t>
  </si>
  <si>
    <t>Industry leader and managing partner ofÂ Khaitan &amp; Co., Haigreve Khaitan, is one of the most active practising managing partners in the Indian market.Â His client book includesÂ high-value, globally recognised firms such as EQT, Blackstone, TPG, Temasek and Global Founders Capital, for whom he works on big ticket deals._x000D_
_x000D_
Renowned across the market for his law firm leadership and strategy as well as legal practice,Â Haigreve receives a strong reputation score from peers, clients, directories and in the media. The firm is also unusual in that it acts for insurers in the private capital space._x000D_
_x000D_
Haigreve has implemented a technology and AI tech-first mentality across the firm.Â It has implemented data repositories and "What's Market" reports to deliver additional insights and value to clients. _x000D_
_x000D_
Haigreve'sÂ placement in the RISE 50 demonstrates a strong and active practice and a sophisticated approach to delivering private capital and strategic advice to high-profile private equity players.Â </t>
  </si>
  <si>
    <t>IND00729</t>
  </si>
  <si>
    <t>Harsh Maggon</t>
  </si>
  <si>
    <t>Harsh Maggon, partner at Trilegal, is one of RISE's Top 10 private capital practitioners in India. His instruction metrics place him among the marketâ€™s most active lawyersÂ supported by a marquee client roster that includes KKRâ€“Radiant, GIC, Brookfield, Carlyle, Goldman Sachs and Premji Invest. He is frequently cited by peers as a top-tier adviser, with his standing reinforced by consistent recognition across the market and a high media profile, despite no significant directory profile in the private capital space. _x000D_
_x000D_
Over the past year he has been particularly active in the healthcare space, advising institutional investors deploying significant capital into Indiaâ€™s growing healthcare sector._x000D_
_x000D_
Within Trilegal, Harsh is regarded as a practitioner whose legal acumen, sector insight and understanding of institutional investor priorities enable smooth execution in Indiaâ€™s complex regulatory environment.</t>
  </si>
  <si>
    <t>IND00458</t>
  </si>
  <si>
    <t>Iqbal Khan</t>
  </si>
  <si>
    <t>Iqbal Khan has built a strong practice on deep relationships with leading international firms including TPG, Bain and Advent. He has played a leading role on a substantial proportion of TPG's work in India and he receives repeat mandatesÂ from sophisticated global investors. _x000D_
_x000D_
Iqbalâ€™s instructions score reflects a high aggregate deal value with a lower number of deals, highlighting his complex, big-ticket work for investment houses._x000D_
_x000D_
Earlier this year, Iqbal joined CyrilÂ Amarchand Mangaldas, bringing with him a team of around 20 lawyers. Iqbal places in the Top 25 private capital lawyers for reputation, receiving a high number of peer mentions, directory recognitions and a very high media profile. _x000D_
_x000D_
Clients value Iqbalâ€™s interpersonal skills, with communication, EQ and leadership given top scores alongside his strategic thinking. Iqbalâ€™s practice is also distinguished by his breadth of sectoral expertise, working across multiple industries.</t>
  </si>
  <si>
    <t>IND00463</t>
  </si>
  <si>
    <t>Jay Gandhi</t>
  </si>
  <si>
    <t>Jay Gandhi is a private equity partner at Shardul Amarchand Mangaldas &amp; Co. His market presence is anchored by strong media visibility, positioning him among the more publicly recognised practitioners at the firm's private equity group. _x000D_
_x000D_
Jayâ€™s transaction record spansÂ PE-backed ventures in technology, automotive, and energy sectors. Clients include Brookfield, Warburg Pincus, and BlackRock. He has acted on a high total value of deals during the 12 months analysed. He is frequently chosen forÂ transactions that require navigatingÂ India's regulatory environment, and complex governance and structuring requirements.Â Â _x000D_
_x000D_
Jay receives top client scores, but from a limited number of clients during the research period, bringing down his overall score in this indicator.Â </t>
  </si>
  <si>
    <t>IND00736</t>
  </si>
  <si>
    <t>Kannan Rahul</t>
  </si>
  <si>
    <t>Kannan Rahulâ€™s background includes significant experience on cross-border investments and strategic transactions, complemented by roles outside traditional private practice that have strengthened his commercial perspective. This broad experience informs his approach to structuring and negotiation, enabling him to anticipate investor priorities and align legal execution with commercial objectives._x000D_
_x000D_
He has established himself as one of the marketâ€™s leading private credit lawyers, advising a client base that includes Ares Management, Brookfield, Blackstone and Goldman Sachs. His mix of technical capability, lender-side insight and commercial acumen has positioned him as a trusted adviser to major global sponsors and credit platforms deploying capital into India. _x000D_
_x000D_
Kannan also makes use of the sophisticated data-driven tools developed by the firm to strengthen client advice and insights.</t>
  </si>
  <si>
    <t>IND00106</t>
  </si>
  <si>
    <t>Kartick Maheshwari</t>
  </si>
  <si>
    <t xml:space="preserve">Kartick Maheshwari's instruction metrics demonstrate good deal activity with deal value positioning him at the higher end of the market. His client relationships include Cerberus, TPG and its subsidiaries, Kedaara Capital, and Bain Capital. He is focused predominantly on cross-border transactions in technology, life sciences, healthcare, and IT services sectors, alongside special situations work. _x000D_
_x000D_
His client experience reflects near-perfect ratings, with clients awarding perfect scores for expertise, service, commerciality, communication, emotional intelligence, network and leadership. However, the overall score for this indicator is lower because of relatively few reviews received duringÂ the research period._x000D_
_x000D_
His philosophy centres on finding commercial middle ground rather than adversarial positioning, being available for clients and running an efficient practice. His high sophistication of practice score draws on use of the firm's more advanced tech tools which include the ability to automate client reporting and insights. </t>
  </si>
  <si>
    <t>IND00477</t>
  </si>
  <si>
    <t>Manish Gupta</t>
  </si>
  <si>
    <t>Manish Gupta advises prominent growth and venture capital investors, with repeat mandates from Lightspeed, General Catalyst, Elevation and 3one4. His work includes significant secondary and primary investments in consumer technology and healthcare. His deal record shows experience executing across multi-party cap tables where stakeholder alignment and protection of scaling founders are central._x000D_
_x000D_
Consistent engagement from global funds indicates trust in his handling of negotiations and in his ability to move transactions to closing in compressed timelines. His approach balances risk management with commercial outcomes, reflecting confidence from sophisticated sponsors operating in Indiaâ€™s growth-stage market. _x000D_
_x000D_
Manishâ€™s client and work portfolio is raising his visibility in the market as activity in the consumer technology industry continues to increase.</t>
  </si>
  <si>
    <t>IND01737</t>
  </si>
  <si>
    <t>Minhaz Lokhandwala</t>
  </si>
  <si>
    <t>IndusLaw</t>
  </si>
  <si>
    <t>Minhaz Lokhandwala is a partner atÂ CMS IndusLaw with a practice focused on private equity and venture capital. HisÂ client portfolio includes relationships with growth investors such as General Catalyst and Elevation Capital._x000D_
_x000D_
Activity within his practice is driven by technology and consumer-focused deal flow, including cross-border structures involving Singapore, the US and Cyprus. He has longstanding relationships with domestic and international managers, supported by consistent delivery in fast-moving early-stage transactions._x000D_
_x000D_
He incorporates technology-enabled processes to streamline diligence and documentation, ensuring efficient execution for VC funds operating at high volume and on short timelines.</t>
  </si>
  <si>
    <t>IND00580</t>
  </si>
  <si>
    <t>Nandish Vyas</t>
  </si>
  <si>
    <t>Nandish Vyasâ€™s practice has evolved with a growing focus on private credit, which now represents around 10â€“20% of his work. This shift is driven by demand from leading institutional investors, including Goldman Sachs, KKR, TPG, Lighthouse and Bain._x000D_
_x000D_
He is recognised by peers for both his deal volume and his consistency across complex, time-sensitive transactions.Â This combination of credibility and clarity in communication has made him a preferred adviser to repeat sponsors._x000D_
_x000D_
Supported by strong institutional relationships and a reputation for reliable delivery, Nandish is well placed to capture opportunities across emerging areas within private capital. His practice continues to expand in step with investor needs, reflecting a track record built on adaptability, trust and sustained performance.</t>
  </si>
  <si>
    <t>IND00582</t>
  </si>
  <si>
    <t>Nanditha Gopal</t>
  </si>
  <si>
    <t xml:space="preserve">Nanditha Gopalâ€™s practice at AZB &amp; Partners includes a mixture of private equity and venture capital clients. Her instruction metrics demonstrate steady deal activity, but herÂ real strength lies in the calibre of her clients, which splitÂ roughly 70/30 between international and domestic firms, includingÂ Peak XV, Tiger Global and Vitruvian Partners. _x000D_
_x000D_
Nanditha is well recognised across directories and in the media, while clients particularly value her communication skills and emotional intelligence. Her data fluencyÂ is also strong, supported byÂ AZB &amp; Partnersâ€™ recent adoption of AI platform Harvey, which is helping accelerate research and diligence, as well as the previously laborious process of collecting client-specific deal data. </t>
  </si>
  <si>
    <t>IND00130</t>
  </si>
  <si>
    <t>Nidhi Killawala</t>
  </si>
  <si>
    <t>A partner at Khaitan &amp; Co., Nidhi Killawala has a practice that caters to both private equity and venture capital clients, though with a strong tilt to the latter. Observing how traditional PE players have moved into VC territory as market dynamics shift, she has positioned herself to guide clients through this blurred landscape.Â _x000D_
_x000D_
Nidhiâ€™s instruction metric is built on entrenched, long-term relationships with leading growth capital investors, including Peak XV Partners,Â ChrysCapital, Lightspeed Venture Partners, General Catalyst, Z47Partners and SoftBank Vision Fund. She has worked on a good number of transactions over the research period, mainly on mid-ticket deal sizes._x000D_
_x000D_
Most notably, Nidhi has handled the majority of SoftBank Vision Fund's work in India since 2019, demonstrating the depth of its trust in her, and the consistency ofÂ her counsel. _x000D_
_x000D_
Her practice reflects the reality that India's growth capital market defies simple categorisation, requiring advisers who understand both venture-style investments and traditional PE structuring. Clients return to Nidhi because she combines technical excellence with the commercial understanding that comes from years working with leading global funds.</t>
  </si>
  <si>
    <t>IND00132</t>
  </si>
  <si>
    <t>Nikhil Narayanan</t>
  </si>
  <si>
    <t xml:space="preserve">Nikhil's instruction performance demonstrates good deal volume and deal value, translating into relationships with clients including Cerberus Capital, Silver Point Capital, and national sovereign wealth funds around the Gulf, where he focuses on private credit alongside strategic work at Khaitan &amp; Co. _x000D_
_x000D_
What distinguishes Nikhil is his combination of technical thought leadership, substantial time devoted to training and mentoring young lawyers, andÂ an approach that integrates commercial and legal perspectives. His focus on maintaining visibility throughout transactions and presenting information in client-preferred formats has builtÂ client confidence._x000D_
_x000D_
Nikhil is recognised in directories for his broad M&amp;A practice, but not specifically for private equity. And while recommended by peers, he did not have a significant media profile on private capital topics in the past 12 months, giving him a lower than average reputation score. </t>
  </si>
  <si>
    <t>IND00760</t>
  </si>
  <si>
    <t>Nishant Parikh</t>
  </si>
  <si>
    <t>Nishant Parikh operates one of the strongest private credit practices in the Indian market, and achieves strong sophistication and instruction scores. He advises leading global capital providers including Blackstone, Carlyle, BlackRock and British International InvestmentÂ which positions him at the centre of large-scale credit deployments in India. His work often involves complex capital stacks and multi-lender scenarios that require strong stakeholder management and precise risk allocation._x000D_
_x000D_
His practice also benefits from the firmâ€™s internal coordination of transaction knowledge and tracking of live market terms, helping institutional clients maintain consistency across portfolios._x000D_
_x000D_
Nishantâ€™s overall ranking reflects the strength of his current mandates and the trust placed in him for strategically important credit transactions.</t>
  </si>
  <si>
    <t>IND02476</t>
  </si>
  <si>
    <t>Nishchal Joshipura</t>
  </si>
  <si>
    <t>Leader</t>
  </si>
  <si>
    <t>Nishith Desai Associates</t>
  </si>
  <si>
    <t>Nishchal Joshipura is a private equity and venture capital partner at Nishith Desai Associates in Mumbai. His practice offers valuable breadth in a market where boundaries between deal types and practice areas are increasingly hazy. _x000D_
_x000D_
Recent clients include GIC and WestBridge Capital, whileÂ Nishchal also has longstanding relationships with TPG and Temasek, and with VCs investing in unicorns. His instructions score reflects a relatively low transaction volume, but each deal represents significant value for an important institutional client._x000D_
_x000D_
The firmâ€™s sophisticated technology and knowledge systems support cross-border execution and process discipline in a practice that emphasises precise, transaction-focused advice for institutional clients.</t>
  </si>
  <si>
    <t>IND00356</t>
  </si>
  <si>
    <t>Nivedita Rao</t>
  </si>
  <si>
    <t xml:space="preserve">Nivedita Rao has a strong client base and acted on recent mandates for KKR and Deccan Value Investors. These relationships reflect the confidence that sophisticated clients place in her capacity to navigate complex private equity deals and deliver clear, commercially grounded advice._x000D_
_x000D_
Nivedita was recommended by peers, and has a good media profile, but receives less recognition for private capital work in traditional directories. In these, she is more likely to be featured for her broader corporate and M&amp;A practice.  _x000D_
_x000D_
Niveditaâ€™s approach is shaped by three core priorities: aligning with the commercial objectives of her clients, interpreting and responding to Indiaâ€™s evolving regulatory regime, and engaging effectively with regulators and key stakeholders to support successful outcomes. She receives top scores from clients across almost every indicator, although she received fewer client reviews than some of her higher rated peers, bringing down her overall experience score. </t>
  </si>
  <si>
    <t>IND00765</t>
  </si>
  <si>
    <t>Pranav Atit</t>
  </si>
  <si>
    <t xml:space="preserve">Pranav Atitâ€™s ranking puts him in the top 10 in the market for the sophistication of his practice. He is a strong user of Trilegalâ€™s AI and other tech tools and structured knowledge systems in his client work. _x000D_
_x000D_
His instruction metrics show strong transaction value, with mandates from clients such as Carlyle, Goldman Sachs, Apis Partners, BPEP India, Everstone and NIIF. He receives instructions from leading institutional sponsors on complex buy-side matters._x000D_
_x000D_
His reputation metrics show a lower market profile than many peers in the top 50 list. However, the consistency and profile of the transactions he handles point to a steadily increasing presence acting for private equity sponsors, underpinned by analytical discipline and efficient deal delivery._x000D_
_x000D_
Overall, Pranavâ€™s practice combines a data-driven approach with substantial transaction value. Clients particularly commended his service, emotional intelligence and leadership skills.  </t>
  </si>
  <si>
    <t>IND00164</t>
  </si>
  <si>
    <t>Rabindra Jhunjhunwala</t>
  </si>
  <si>
    <t>Rabindra Jhunjhunwala's client experience scores place him first in the market, anchored by exceptional ratings from a large number of clients, including perfect scores for service and emotional intelligence. This reflects a strong relationship-driven built on practical advice, responsiveness and billing transparency. He has recently acted for EQT, General Atlantic, Apax and Nordic Capital. _x000D_
_x000D_
His practice focuses predominantly on cross-border work, collaborating extensively with German and international firms across healthcare, industrials, financial services, infrastructure and global capability centres. _x000D_
_x000D_
Rabindra is primarily known by peers and in directories for his broader corporate and M&amp;A practice, but is also included in this private capital ranking for the significant work he handles for PE clients.</t>
  </si>
  <si>
    <t>IND00508</t>
  </si>
  <si>
    <t>Raghubir Menon</t>
  </si>
  <si>
    <t>Partner &amp; Regional Head of M&amp;A, Private Equity, and General Corporate</t>
  </si>
  <si>
    <t>Raghubir Menon's reputation as one of theÂ Indiaâ€™sÂ finest dealmakers is supported by client and peer recommendationsÂ and a strong profile in legal directories. He isÂ known as a strategic leader,Â praised for guiding strong teams through complex mandates. _x000D_
_x000D_
His practiceÂ attractsÂ institutional clients who demand both technical excellence and commercial acumen. Raghubirâ€™sÂ reputation stems not from volume but from the complexity and significance of his transactions._x000D_
_x000D_
Ranked 2ndÂ on the â€˜Instructionsâ€™ score,Â Raghubir's standingÂ comes from his premier client base, whichÂ includesÂ KKR, GIC, Blackstone and GeneralÂ Atlantic.Â His clients rate their experience of working with him as high across the eight indicators,Â with perfect scores for expertise, commerciality, network and leadership.Â xpertise, network and leadership.Â Â </t>
  </si>
  <si>
    <t>IND00369</t>
  </si>
  <si>
    <t>Ravindra Bandhakavi</t>
  </si>
  <si>
    <t>Ravindra Bandhakavi, senior partner at Cyril  Amarchand Mangaldas, runs a private equity practice out of Delhi. His reputation metrics show excellent directory recognition and a strong media profile._x000D_
 _x000D_
His deal volume score is higher than the market average, and he has handled a number of high value deals in the time period. Ravindra has cultivated relationships with institutional investors including ADIA, Goldman Sachs, West Bridge, BII and Multiples, with concentrated work for sovereign wealth funds, pension funds and multilateral organisations across infrastructure, financial services and healthcare sectors._x000D_
_x000D_
Ravindra maintains a high volume of work through responsive, practical advice combined with a willingness to connect clients with specialist counsel when transactions demand different expertise.</t>
  </si>
  <si>
    <t>IND00370</t>
  </si>
  <si>
    <t>Reeba Chacko</t>
  </si>
  <si>
    <t>Partner &amp; Head of Corporate</t>
  </si>
  <si>
    <t>Clients highly rateÂ Reeba Chackoâ€™s expertise, service, communication, strategy and leadership, making her one of the best known and respectedÂ private capital practitionersÂ in the Indian market.Â HerÂ client base includesÂ KKR, Blackstone, Bain, Temasek, CPPIB and Peak XV.Â Her ability to lead transactions involving layered commercial interests, regulatory navigation and large capital commitmentsÂ was showcased on theÂ Alpha Wave Venturesâ€™ acquisition and developmentÂ financing in Mumbai._x000D_
_x000D_
Reeba brings a strong strategic lens to deal structuring, particularly in the technology, financialÂ servicesÂ and real estateÂ sectors. Reebaâ€™s approach to deal-making includes her ability toÂ anticipateÂ governance tensions, align investor protections early, andÂ maintainÂ constructive negotiation dynamics.Â _x000D_
_x000D_
Reebaâ€™s ranking reflects a practice that blends sophisticated cross border execution with board level advisory strength. She is viewed as a senior figure who shapes outcomes in the most sensitive private capital mandates.</t>
  </si>
  <si>
    <t>IND00594</t>
  </si>
  <si>
    <t>Roxanne Anderson</t>
  </si>
  <si>
    <t>With a practice spanning the three specialisms this ranking covers, Roxanne Anderson, a senior partner at AZB &amp; Partners, is a trusted adviser to major global private capital sponsors, including various KKR subsidiaries. Her experience includes acting for investors and multinational corporations on high-value cross-border acquisitions and private capital transactions in regulated sectors, such as supporting KKR on a private credit investment in healthcare._x000D_
_x000D_
Roxanne's practice reflects an ability to manage complex diligence and regulatory interfaces where global approval pathways, legacy liabilities and capital structuring require precision. She has a solid reputation across the market, receiving the average number of peer recommendations despite lower profile inÂ directory rankings. _x000D_
_x000D_
Her work on cross-border mandates where sophisticated sponsors expect alignment of legal, commercial and regulatory demands is driving growing visibility for Roxanne in the market. She receives high ratings from clients across indicators, but a lower number of reviews were received during the research period, bringing down her total experience score.Â </t>
  </si>
  <si>
    <t>IND00378</t>
  </si>
  <si>
    <t>S. Harish</t>
  </si>
  <si>
    <t>S. Harish is a partner at Cyril Amarchand Mangaldas who splits his practice between private equity and venture capital work. His client listÂ demonstrates a slight tilt towards smaller start-ups and venture capital clients, but he has represented institutional investors such as Temasek and AlphaWave on various high-value deals._x000D_
_x000D_
S. Harish's reputation score is largely based on his engagement with the media, in which he is significantly above the market average. He also receives coverage across external directories and was recommended by peers.</t>
  </si>
  <si>
    <t>IND00782</t>
  </si>
  <si>
    <t>Sai Krishna Bharathan</t>
  </si>
  <si>
    <t>Sai Krishna Bharathanâ€™s instruction metrics reflect high deal volume across private capital and real estateâ€“linked investments, with key clients including GIC Singapore, ADIA, Morgan Stanley Real Estate, CPPIB, Actis and RMZ Corp. _x000D_
_x000D_
Previously at AZB &amp; Partners, he advises sovereign wealth funds and institutional investors on a wide range of transactions, from large-scale property acquisitions to corporate investments and platform-level deals. His reputation is reinforced by directory recognition and consistent client feedback highlighting his ability to manage technically challenging mandates._x000D_
_x000D_
Sai Krishna combines expertise across real estate assets, investment platforms and fund structures. Known for technical proficiency and sector insight, SaiÂ supports institutional investors deploying capital across both property markets and adjacent private capital opportunities.</t>
  </si>
  <si>
    <t>IND02506</t>
  </si>
  <si>
    <t>Sharda Balaji</t>
  </si>
  <si>
    <t>Founder</t>
  </si>
  <si>
    <t>NovoJuris</t>
  </si>
  <si>
    <t>As well as managing NovoJuris, the firm she founded in 2008, Sharda Balaji is a venture capital lawyer who deals predominantly with high-profile start-ups and unicorns in the technology sector. Her strong client list has propelled her into the top 50 this year._x000D_
_x000D_
Shardaâ€™s reputation score draws on a high media profile. Her work is frequently reported and she has written on topics including emerging trends in AI law and business._x000D_
_x000D_
Although she scores highly on all experience indicators, her lower overall score includes a lower number of client ratings received during the research period than some peers.</t>
  </si>
  <si>
    <t>IND00391</t>
  </si>
  <si>
    <t>Shishir Jose Vayttaden</t>
  </si>
  <si>
    <t>Shishir Jose Vayttaden is one of Khaitan &amp; Co.â€™s leading private equity practitioners, having joined from Cyril Amarchand Mangaldas in 2024. His reputation is anchored in strong peer recognition, with fellow practitioners frequently citing his judgement and execution strength. His key client relationships include Blackstone, Warburg Pincus and Multiples, who value the continuity and quality of his counsel on major transactions._x000D_
_x000D_
Institutional investors commend his ability to manage complex, large-scale mandates with consistency and precision, reflected in a sophistication score in the top half of the market. Their sustained confidence in his technical execution and strategic judgement supports long-term relationships and reinforces his position as a trusted adviser within Indiaâ€™s private capital ecosystem.</t>
  </si>
  <si>
    <t>IND01585</t>
  </si>
  <si>
    <t>Shuva Mandal</t>
  </si>
  <si>
    <t>Anagram Partners</t>
  </si>
  <si>
    <t xml:space="preserve">Shuva Mandalâ€™s instruction metrics are anchored in high-value mandates for prominent private equity investors such as CVC, Goldman Sachs and Valiant Capital. His client mix reflects continued engagement from both Indian and international funds, signalling trust in his judgment on significant deployment decisions. _x000D_
_x000D_
Shuva founded Anagram Partners in 2021, and working within a smaller firm and team, handled a lower total value and volume of work in our research over the past 12 months than peers at the largest five firms. _x000D_
_x000D_
What distinguishes him within this group is his depth in governance and longer-term strategic input on buyouts, supported by his experience as group general counsel at Tata and reinforced by longstanding institutional relationships across varied transaction types. _x000D_
_x000D_
Shuva was also an early mover in adopting AI. The firm has developed AI-tools and workflows to support their transactional work, positioning them alongside or ahead of larger law firms on this metric of practice sophistication. </t>
  </si>
  <si>
    <t>IND00218</t>
  </si>
  <si>
    <t>Siddarth Shah</t>
  </si>
  <si>
    <t xml:space="preserve">Siddarth Shah operates across the full spectrum of private capital at Khaitan &amp; Co - private equity, venture capital and private credit. His practice spans fund formation and deployment for institutional investors, including advising Kedaara Capital on one of Indiaâ€™s largest domestically-sponsored funds -Â its $1.73bn fourth fund in GIFT City._x000D_
_x000D_
Client relationships span premier international and domestic firms, including Brookfield, ChrysCapital and Kotak Alternatives, alongside sovereign wealth funds and government investors. _x000D_
_x000D_
His top 25 reputation draws on particularly high directory and media profile scores._x000D_
_x000D_
Siddarth also receives a high sophistication of practice score, particularly in the data-driven practice metric. He receives a top score in this area for deployment of proprietary deal analytics, leveraging Khaitan's accumulated transaction data to enhance efficiency and provide clients with market trend intelligence. </t>
  </si>
  <si>
    <t>IND03027</t>
  </si>
  <si>
    <t>Siddhart Srivastava</t>
  </si>
  <si>
    <t>Siddhart Srivastava's instruction metrics demonstrate steady deal activity in private credit at Khaitan &amp; Co., built on relationships with institutional investors including Oaktree, Cerberus and Baring. _x000D_
_x000D_
Siddhart receives the equal second highest score for sophistication of practice. He has strong technology skills and is also keen to share his knowhow. Siddharth presents key deal featuresÂ internally after completed transactions, using AI to capture and shareÂ learning. His focus on building institutional memory through technology positions him well as private credit work continues to expand in India._x000D_
_x000D_
Though he scores highly on multiple experience indicators, theÂ smaller overall scoreÂ reflects theÂ low number of client ratings received during the research period.</t>
  </si>
  <si>
    <t>IND02081</t>
  </si>
  <si>
    <t>Siddharth Mody</t>
  </si>
  <si>
    <t>J. Sagar Associates</t>
  </si>
  <si>
    <t>Siddharth Mody is a private equity and venture capital partner at JSA, advising sponsors and asset managers across growth- and control-focused transactions. His client base includes ChrysCapital, General Atlantic, 360 ONE and other leading domestic and global investors active in Indiaâ€™s mid-market._x000D_
_x000D_
His work spans minority and growth investments, platform build-outs and portfolio support, with activity concentrated in sectors attracting sustained sponsor interest. A strong media profiles contributes to Siddharthâ€™s reputation score.</t>
  </si>
  <si>
    <t>IND02937</t>
  </si>
  <si>
    <t>Sonali Mahapatra</t>
  </si>
  <si>
    <t>Sonali Mahapatra has a private credit practice at TT&amp;A, focusing on alternative credit structures in India's expanding credit market. Sonaliâ€™s reputation as one Indiaâ€™s leading private credit practitioners is reflected in her high number of peer mentions and strong directory presence._x000D_
_x000D_
Her instruction base includes leading private capital firms such as Ares Management, Brookfield, TPG, Farallon Capital, BlackRock, Davidson Kempner, PAG, Kotak, Hillhouse and Allianz. This client portfolio gives Sonali a top ten score for clients. Near-perfect client ratings across all evaluation metrics underscore both service excellence and technical competence._x000D_
_x000D_
At TT&amp;A, Sonali leads a private credit practice that handles structured transactions involving multiple funding entities and layered capital arrangements. Clients engage Sonali for matters involving both technical structuring and regulatory compliance considerations.</t>
  </si>
  <si>
    <t>IND00596</t>
  </si>
  <si>
    <t>Srinath Dasari</t>
  </si>
  <si>
    <t xml:space="preserve">Srinath Dasariâ€™s practice at AZB &amp; Partners covers both private equity and venture capital clients on work at different phases of the corporate life- cycle. He ranks in the Top 25 for reputation and for the sophistication of his practice. _x000D_
_x000D_
Srinathâ€™s deals include repeat mandates for Tiger Global Management and Vitruvian Partners over the research period. _x000D_
_x000D_
The AZB &amp; Partners platform supports cross-border co-ordination and process discipline, enabling execution on compressed timelines._x000D_
_x000D_
Srinath's approach prioritises execution certainty and documentation-led risk management, with clients valuing his ability to maintain clarity under pressure. He receives strong client reviews, but from a relatively small number of clients over the research period. </t>
  </si>
  <si>
    <t>IND00600</t>
  </si>
  <si>
    <t>Vaidhyanadhan Iyer</t>
  </si>
  <si>
    <t>A senior partner at AZB &amp; Partners, Vaidhyanadhan Iyer ranks second in the market for aggregate deal value over the RISE research period. Coupled with a high volume of transactions, Vaidhyanadhan has a reputation within the firm for handling more private equity deals than any other lawyer. His client roster includes Warburg Pincus, Advent, TPG and Footpath, with Warburg relying on him as a trusted adviser across its most significant mandates._x000D_
_x000D_
Beyond execution, Vaidhyanadhan integrates data-driven and technology-enhanced approaches into his practice. He personallyÂ championed AZBâ€™s adoption of Harvey and built a private-equity-specific data vault containing granular deal intelligence, which he uses to strengthen analysis and accelerate decision-making in live transactions. His tech and data savvy has placed him in the Top 10 private capital lawyers in India.Â </t>
  </si>
  <si>
    <t>IND02118</t>
  </si>
  <si>
    <t>Vikram Raghani</t>
  </si>
  <si>
    <t>Vikram Raghani is one of JSA Advocates &amp; Solicitorsâ€™ leading private equity specialists, recognised across the market for his focused practice and trusted by major institutional investors. He maintains longstanding relationships with EQT and Temasek, who consistently return to him for high-value and strategically complex transactions. Over the past year, he has been busiest with financial services and consumer mandates, with manufacturing and real estate forming the remainder of his deal flow._x000D_
_x000D_
In a market where many peers divide their time between M&amp;A and private equity, Vikram stands out as one of Indiaâ€™s most traditional, pure private equity lawyers. His inclusion in the top 10 of Indiaâ€™s Private Capital RISE Lawyers underscores the respect he commands among senior peers and reflects his reputation as a â€œpractical dealmakerâ€ known for timely, effective execution.</t>
  </si>
  <si>
    <t>IND00261</t>
  </si>
  <si>
    <t>Vivek Mamani</t>
  </si>
  <si>
    <t>Vivek Mimani is a partner at Khaitan &amp; Co. with a practice concentrated on private equity and venture capital fund formation. He advises managers across early-stage, growth and pre-IPO strategies, with recent mandates for Stellaris Ventures, Trust Capital, Rukam Capital and Axis AMC._x000D_
_x000D_
His work spans structuring India-focused AIFs, establishing investment platforms and guiding clients through SEBI approvals and regulatory requirements tied to PE and VC fund launches._x000D_
_x000D_
Vivek receives the third highest sophistication of practice score in the market. He incorporates technology into fund-formation workflows, using automated tools to streamline documentation and regulatory processes, supporting efficient launch cycles for PE and VC managers operating in a fast-developing market.</t>
  </si>
  <si>
    <t>IND01707</t>
  </si>
  <si>
    <t>Winnie Sherkhar</t>
  </si>
  <si>
    <t xml:space="preserve">Winnie Shekhar is a venture capital and private equity practitioner at CMS IndusLaw, whose broad sectoral knowhow includes expertise in flip and flip-back transactions across theÂ technology, healthcare and defence industries._x000D_
_x000D_
Winnie was exceptionally active during the research period, with the top deal volume score driven by repeat clients including General Catalyst, Elevation Capital, Nexus Venture and LightRock on small-to-medium-ticket transactions._x000D_
_x000D_
With a focus on venture capital work, her profile amongst peers working across the private capital space was lower. However, she is highly rated in directories for her VC practice, and receives excellent client ratings from a large number of clients. Her experience score puts her in the top 10 in the market. </t>
  </si>
  <si>
    <t>IND00813</t>
  </si>
  <si>
    <t>Yogesh Singh</t>
  </si>
  <si>
    <t xml:space="preserve">Yogesh Singh is a private equity and private credit partner at Trilegal. The firm has invested heavily in technology and data systems, building a database of more than 500 deals since markets resurged after Covid.Â Yogesh integrates these tools into his practice to produce trend reports, identify key findings and run detailed deal-trench analyses for clients._x000D_
_x000D_
Recent mandates include work for Brookfield Asset Management and Goldman Sachs, reflecting engagement from leading institutional investors. Yogesh receives strong instructions scores across all metrics, with a good client base and high deal values and volumes over the research period. _x000D_
_x000D_
Yogesh places in the top 10 for client experience. Clients rated him highly across all indicators and he received a large number of client reviews. </t>
  </si>
  <si>
    <t>New Resight ID</t>
  </si>
  <si>
    <t>Ranking</t>
  </si>
  <si>
    <t>@Image path</t>
  </si>
  <si>
    <t>Total</t>
  </si>
  <si>
    <t>Badge</t>
  </si>
  <si>
    <t>Rank</t>
  </si>
  <si>
    <t>Reputation score</t>
  </si>
  <si>
    <t>Reputation score Median</t>
  </si>
  <si>
    <t>Reputation rank badge</t>
  </si>
  <si>
    <t>R Peers</t>
  </si>
  <si>
    <t>R Peers Median</t>
  </si>
  <si>
    <t>R Directories</t>
  </si>
  <si>
    <t>R Directories Median</t>
  </si>
  <si>
    <t>R News media</t>
  </si>
  <si>
    <t>R News media Median</t>
  </si>
  <si>
    <t>R Social media</t>
  </si>
  <si>
    <t>R Social media Median</t>
  </si>
  <si>
    <t>Instructions score</t>
  </si>
  <si>
    <t>Instructions score Median</t>
  </si>
  <si>
    <t>Instructions rank badge</t>
  </si>
  <si>
    <t>I Volume</t>
  </si>
  <si>
    <t>I Volume Median</t>
  </si>
  <si>
    <t>I Value</t>
  </si>
  <si>
    <t>I Value Median</t>
  </si>
  <si>
    <t>I Clients</t>
  </si>
  <si>
    <t>I Clients Median</t>
  </si>
  <si>
    <t>I Complexity</t>
  </si>
  <si>
    <t>I Complexity Median</t>
  </si>
  <si>
    <t>Sophistication score Median</t>
  </si>
  <si>
    <t>Sophistication rank badge</t>
  </si>
  <si>
    <t>S Tech and data Median</t>
  </si>
  <si>
    <t>S Pricing Median</t>
  </si>
  <si>
    <t>S Talent development Median</t>
  </si>
  <si>
    <t>Experience score Median</t>
  </si>
  <si>
    <t>Experience rank badge</t>
  </si>
  <si>
    <t>E Service Median</t>
  </si>
  <si>
    <t>E Expertise Median</t>
  </si>
  <si>
    <t>E Commerciality Median</t>
  </si>
  <si>
    <t>E Communication Median</t>
  </si>
  <si>
    <t>E EQ Median</t>
  </si>
  <si>
    <t>E Strategy Median</t>
  </si>
  <si>
    <t>E Network Median</t>
  </si>
  <si>
    <t>E Leadership Median</t>
  </si>
  <si>
    <t>Aadya-Misra.webp</t>
  </si>
  <si>
    <t>Aadya Misra receives an excellent RISE client experience score, with a number of client recommendations and particularly high ratings for  service, commerciality and EQ (emotional quotient and ability to empathise and walk in the client's shoes). Misra is also included in the list on the basis of a strong RISE instruction score. Misra has a purely data protection and cyber focused practice, one of the few in this cohort that does not sit within a broader TMT or corporate department. Her clients include  domestic Indian companies expanding into the EU, Southeast Asia, the Middle East, and the US, where cross-border data transfer and localisation requirements drive most of the complexity. Her work includes data governance structures, cybersecurity, and data architecture compliance across Indian and foreign jurisdictions. Misra also makes use of a client-facing data hub offering compliance tools and an interactive comparative map of data and cyber laws, reflected in her sophistication of practice RISE score. Her EnRoute programme offers 100 hours of free legal service to small companies and also provides a structured training ground for junior lawyers building advisory confidence under supervision.</t>
  </si>
  <si>
    <t>Ranked 1st</t>
  </si>
  <si>
    <t>Photos/Aashima-Johur.png</t>
  </si>
  <si>
    <t>Aashima Johur at Cyril Amarchand Mangaldas has built her practice around new-age, technology-focused, asset-light companies, working almost exclusively as issuer counsel, a positioning that gives her deeper insight into non-traditional capital structures, employee incentive schemes, and promoter arrangements than a bank-side practice typically produces. Instruction scores are her strongest RISE metric, but she also scores well on some sophistication sub-indicators such as pricing flexibility, and she switches between fixed fees and hourly rates in ways appropriate to client and matter. For pre-IPO advisory work—where the firm entrenches itself with potential issuers up to a year before the formal process begins to assess IPO readiness and identify areas requiring "cleaning up"—the firm tends to work on an hourly basis. 
Johur also scores strongly on the complexity of her mandates in line with her focus on new age companies. Her matters have received a lot of media attention. For example, the Lenskart IPO generated significant social media discussion about valuation and promoter incentives, requiring the team to address public perception and justify the commercial arrangements.</t>
  </si>
  <si>
    <t>Top 10</t>
  </si>
  <si>
    <t>Photos/Ayush Mohata - ECM.png</t>
  </si>
  <si>
    <t>Aayush Mohata combines strong AI and sophistication scores with a deliberate focus on quality over quantity, building a practice around fewer and larger mandates rather than volume. He uses the firm's KAI platform across a wide range of tasks including preparing diligence checklists, benchmarking disclosures against recent regulatory precedents, and identifying consent triggers in financing documents. Mohata also invests heavily in structured training, running tailored, annual programmes for junior lawyers and bespoke sessions for new joiners. One of his most prominent recent matters is Knowledge Realty Trust’s IPO, India's largest REIT and Asia's second largest, sponsored by Blackstone alongside Sattva Developers.</t>
  </si>
  <si>
    <t>Top 5</t>
  </si>
  <si>
    <t>Photos/Mr-Abhay-Joshi.jpg</t>
  </si>
  <si>
    <t>Abhay Joshi’s strongest RISE metric is Instructions, driven by the exceptional complexity of mandates he handles for a high-quality client roster. His portfolio includes IREL India, Bridgestone India, SKF India, Ecozen Solutions, Corteva Agriscience, and United Breweries. His practice is defined by these layered enforcement matters rather than routine market-share analysis, reflecting a deep institutional understanding of Indian competition law.
Joshi differentiates himself through his "quiet achiever" status; while his Reputation score is more minimal, his work on sophisticated regulatory intersections is notable. He recently defended IREL in a monopoly abuse case, arguing that strategic policy context justifies market position. His work for United Breweries involved navigating a highly regulated industry to address complex business issues regarding the sharing of commercially sensitive pricing and production data. Having transitioned from a background in M&amp;A and private equity, Joshi also leverages a growing strand of data privacy work. He believes this forward-facing approach, treating privacy as a non-price parameter in competition analysis, is essential for modern market power mandates.</t>
  </si>
  <si>
    <t>Photos/Abhimanyu-Bhattacharya.png</t>
  </si>
  <si>
    <t>Abhimanyu Bhattacharya works across the full public markets ecosystem, advising financial sponsors on IPO exits and issuers on listings, with clients including Apollo Global, Blackstone, TPG, and SoftBank. His highest RISE score is for the reputation indicator, where he draws solid peer recommendations, and a visible presence legal directory presence. His mandates consistently involve sponsor-heavy transactions with large, complex cap tables. Meesho's IPO is a good example: a reverse-flipped issuer with a novel business model where the core challenge was aligning numerous financial sponsors and renegotiating pre-IPO documentation to get the transaction ready for market.</t>
  </si>
  <si>
    <t>Photos/Abhinav Maver - ECM.png</t>
  </si>
  <si>
    <t>Abhinav Maker's instruction and sophistication scores at Trilegal are underpinned by a practice that treats regulatory engagement as a client service rather than a compliance obligation. Maker works directly with SEBI on consultation papers and uses client interviews to shape how his team tracks and communicates regulatory change. AI and data usage is a strong sub-indicator. Maker also prioritises training for his team, which includes mandatory biweekly sessions and knowledge sharing to keep the team current. He has worked on some  novel transactions such as the Bluestone IPO, which required creating new structural mechanisms to meet shareholding rules that a series of funding rounds had made impossible to satisfy in the conventional way, and Dam Capital that became India's first  investment bank to go public. He works in the BFSI, manufacturing, infrastructure, and new-age technology sectors.</t>
  </si>
  <si>
    <t>Photos/Abhiroop-Amitava-Datta- ECM.png</t>
  </si>
  <si>
    <t>Abhiroop Datta at Shardul Amarchand Mangaldas &amp; Co scores most strongly on RISE sophistication metrics, with technology usage and talent development the standout sub-indicators. He connects Outlook to Harvey to pull and summarise all correspondence relating to a transaction, replacing manual inbox management, and stores transaction data in structured archives to run analyses without risk. His practice spans large regulated-sector IPOs and technology listings, including matters using SEBI's confidential filing route, with experience across a wide range of promoter profiles and investor types from family-led Indian businesses to international corporate and financial sponsors. He regularly advises on public regulatory compliance issues where multiple regulators or large syndicates are involved. A personal background spanning three countries and ten cities has given him an ability to engage comfortably across socio-economic and cultural contexts, from traditional Indian promoters to sophisticated international clients.</t>
  </si>
  <si>
    <t>IND08613</t>
  </si>
  <si>
    <t>Photos/abir-roy-neww.png</t>
  </si>
  <si>
    <t>Abir Roy at Sarvada Legal occupies an unusual position in the Indian competition market: an enforcement-led practice running approximately 80% contentious work, with a distinct concentration on the complainant side in big tech platform cases at a time when most comparable complexity sits within larger full-service firms. Sophistication and Experience are also rated highly, with technology and value the standout sub-indicators within each.
Abir's work on Google, Apple and app ecosystem matters involves technical arguments around platform economics, data flows and jurisdictional overlap with data protection, with data accumulation treated as a source of dominance rather than a separate regulatory question. A notable feature is his representation of app developer communities acting collectively against dominant platforms, requiring coordination of multi-party complainant strategies across long-running, multi-forum disputes. He argues his own matters and maintains full file ownership throughout, a model that suits the litigation-control and forum-strategy dimension of enforcement work but operates from a smaller platform than the full-service practices handling comparable complexity.</t>
  </si>
  <si>
    <t>Photos/Aditya Cheriyan.png</t>
  </si>
  <si>
    <t>Aditya George Cheriyan's is a modern-day of practitioner. His highest RISE scores come under 'Sophistication' of practice, essentially in the business of law. His role in developing his team is his standout sub-indicator. His associate training  covers legal expertise, financial literacy, negotiation, and client communication, Associates are assessed regularly and developed through workshops and partner-led mentoring. Cheriyan teaches externally at Gujarat National Law University, which doubles as a talent pipeline and has contributed to less attrition in his team compared to peers. Clients include Travel Food Services, Sai Life Sciences, and Meesho, each involving novel equity arrangements, regulatory challenges, or cross-border structuring. His team systematically tracks what is market across transactions even where the firm is not instructed.</t>
  </si>
  <si>
    <t>Ranked 2nd</t>
  </si>
  <si>
    <t>Photos/Ajay Bhargava_0.png</t>
  </si>
  <si>
    <t>Ajay Bhargava runs a high-volume practice for Indian conglomerates, multinationals, and government bodies, with instructions from Aditya Birla Group, Adani Group, L&amp;T, Siemens, Hyundai, Panacea and INOX. Complexity is among his strongest RISE indicators, with matters regularly involving multiple jurisdictions, public sector counterparties, and points of law with no settled precedent. A standout recent matter is Antrix Corporation, the first case in India to establish a doctrine of fraud in arbitration, with enforcement proceedings running in parallel across the Netherlands, Germany, France, and the US. His RISE sophistication score is anchored in talent development, working directly on matters alongside junior lawyers and having mentored around 15 lawyers to partnership over his career.</t>
  </si>
  <si>
    <t>Photos/Ajinkya Gunjan Mishra.jpg</t>
  </si>
  <si>
    <t>Ajinkya Gunjan Mishra carries some of the highest news and social media scores in this cohort, writing throughout 2025 on topics including the effects of US tariffs and opportunities for India's defence sector. His instruction record in the same year includes a rare disputed benefits case under the India-Japan CEPA, one of India's most active trade corridors in Asia-Pacific.
Appearances for Mishra relating to trade remedies are largely concentrated in Indian forums across all levels, including the Supreme Court, primarily for multinationals, whom he also acts for on an advisory basis.
An MBA from the Indian Institute of Foreign Trade, taken thirteen years ago when that combination was uncommon for a mid-career trade lawyer, signals a commercial orientation that has shaped how he has approached mandates since.</t>
  </si>
  <si>
    <t>Photos/Akshat-Kulshrestha-GS.jpg</t>
  </si>
  <si>
    <t>Akshat Kulshrestha at S&amp;R Associates scores most strongly on RISE instruction metrics, driven by technically demanding merger control work and growing enforcement exposure rather than filing volume alone. His Client base is the standout sub-indicator, spanning infrastructure, private equity, and logistics, alongside cartel defence and High Court litigation for a top global express courier company. RISE sophistication scores are the second strongest signal. AI usage is notable, with the team building a competition-specific repository of CCI precedents segmented by conduct type, penalty range, and market definition using Lucio.</t>
  </si>
  <si>
    <t>Photos/Albin-Thomas-1.png</t>
  </si>
  <si>
    <t>Albin Thomas's instruction scores are his strongest RISE metric, built on a practice that spans both ECM and DCM and a track record of first-of-their-kind transactions that generates repeat work.
The Mahindra Finance rights issue, one of the first executed under the new streamlined SEBI regime, and the ROADIS high-yield bond, the first tollway high-yield bond in India, are good illustrations of his work. 
Thomas' AI and data usage is the sophistication standout: his team captures SEBI observations on filed offer documents into a structured database, creating ready-made prompts for drafting teams on what the regulator has been scrutinising in the past six months. 
Clients include Mahindra Group, IIFL Capital, and Jefferies.</t>
  </si>
  <si>
    <t>Anirban Mohapatra.jpg</t>
  </si>
  <si>
    <t>Anirban Mohapatra receives a high RISE client experience score. Clients rated his service, commerciality, EQ and network particularly highly. Mohapatra's score on the RISE instruction metric reflects a cross-sector practice spanning large technology companies, domestic and global banks, insurance companies, and platforms. His cyber advisory practice sits within the firm's new Digital Plus practice, a unified team that covers transactions, advisory, and incident response for clients. A strong score on the RISE sophistication metric is also is based on an advanced use of technology and approach to talent development. Mohapatra's training philosophy requires junior lawyers to understand technology architecture before advising on it. The firm uses legal AI tool Legora, and his team has built a proprietary prompt library refined in weekly sessions, with AI now deployed on transaction checklists, drafting, summarisation, and first-response analysis across data-heavy matters. He also authored a public cybersecurity handbook drawing on global precedent and client experience.</t>
  </si>
  <si>
    <t>Photos/Ankur Sharma.jpg</t>
  </si>
  <si>
    <t>Ankur Sharma at Lakshmikumaran &amp; Sridharan has established a leading position in sanctions and carbon border adjustment mechanism advisory, two of the fastest-moving sub-practice areas in international trade, at a moment when most practitioners are still developing their footing in both. Sharma scores in the top 5 for the RISE instructions metric as a result of his expertise in these frontier specialisms.
Sharma's talent development for junior lawyers is also strong, with training structured around emerging laws paired with business development strategy. A background in engineering rather than the accountancy qualifications more common among trade lawyers gives him a mathematical foundation that he applies directly to the economic analysis that CBAM work demands.</t>
  </si>
  <si>
    <t>Photos/Anshuman Sakle 2025 web_0.png</t>
  </si>
  <si>
    <t>Anshuman Sakle ranks eighth in the RISE competition standings, supported by a near-equal balance between his reputation and instruction scores. His reputation is defined by exceptional visibility; he is one of the most frequently quoted practitioners in the legal press and maintains an excellent profile across international legal directories and peer mentions. His Instructions score is equally robust, reflecting a high-volume, high-complexity practice that handled 17 major transactions in 2025 for a prestigious client roster including Torrent Pharmaceuticals, Mahindra &amp; Mahindra, Haldiram Snack Foods, Interpublic Group (IPG), Wilmar International, and American Axle &amp; Manufacturing.
Based in Mumbai, Sakle’s practice typically splits 75% toward merger control and 25% toward enforcement, though he notes this ratio fluctuates with the Commission’s investigative cycles. He differentiates himself through a culture of team continuity; by giving associates early client-facing responsibility, he maintains notably low attrition rates. This stability, combined with his long-standing engagement with the CCI, provides clients with reliable regulatory navigation across diverse sectors such as pharma, financial services, and oil and gas. His profile marks him as a highly visible market leader who remains deeply embedded in the execution of complex, sector-spanning mandates.</t>
  </si>
  <si>
    <t>Photos/Anu Monga.jpg</t>
  </si>
  <si>
    <t>Anu Monga achieves the second-highest experience score in her cohort, rated particularly strongly by clients for her expertise, commerciality, and communication. Instruction scores are her second strongest RISE metric, driven by advisory work for multiple Indian ministries on policy and by representing the Government of India before foreign authorities including in the US, Canada and China.
She co-leads the youngest firm in this ranking of top international trade lawyers, formed only in 2020. Perhaps partly from the agility of being a smaller, younger firm, AnantLaw is the only Indian firm using the global legal research platform VLex. It is also a signal of the practice's orientation toward international standards.
Complementary specialisations across international trade, competition law, and disputes, combined with deep government advisory work, produce a practice that is as politically attuned as it is technically grounded.</t>
  </si>
  <si>
    <t>IND08621</t>
  </si>
  <si>
    <t>Photos/Anuradha R V.jpg</t>
  </si>
  <si>
    <t>Anuradha RV</t>
  </si>
  <si>
    <t>Anuradha RV at Clarus Law Associates has built a practice on policy and high-level advisory rather than the anti-dumping foundation more common for a trade lawyer. Her work is focused more on services and sustainability commitments as well as investment commitments in bilateral investment treaties, and her clientele includes government bodies and industry associations.
She consults with the International Trade Center in Geneva, supporting countries on trade policy development and WTO accession, a mandate profile that operates at a different level of the market to most practitioners here. She is a prolific writer and teacher alongside her practice, co-authoring articles with economists on India's trade policies for publications including the Hindustan Times and Mint, a combination that reinforces both her external profile and technical proficiency in emerging sub-practice areas of trade law.
Talent development is a strong sub-indicator, with associates rotated across trade, investment, and policy to broaden exposure and match availability to workflow.</t>
  </si>
  <si>
    <t>Photos/Aparna Mehra.png</t>
  </si>
  <si>
    <t>Aparna Mehra ranks within the top 20 of the RISE Competition list, with her strongest metric being Reputation. This standing is driven by consistent recognition across legal directories and a notable social media presence, alongside a solid profile among her peers. Her Instructions score is also robust; while she maintains an understated profile, she remains a trusted advisor for high-caliber clients including ArcelorMittal, Bain Capital Investors, Jindal Steel &amp; Power, Rolls-Royce India, and Vedanta Limited.
As one of the first generation of Indian competition specialists with two decades of experience, Mehra’s practice has a distinct cross-border character. She is frequently sought out as local counsel by firms in Japan, Brussels, London, and New York for specialist mandates. She believes her practice is valued for its reliability and deep system-level understanding of Indian merger control. This expertise is evident in her analysis of deal value thresholds and evolving green channel filing behaviors, reflecting a sophisticated grasp of the regulatory landscape that transcends individual mandates.</t>
  </si>
  <si>
    <t>Photos/Arka-Mookerjee-Profile-Picture.jpg</t>
  </si>
  <si>
    <t>Around 90 per cent of Arka Mookerjee's work at J. Sagar Associates is independently generated, a figure that is unusual at his level and reflected by his instruction scores in the RISE rating. 
His client roster spans Temasek, for whom he handles all Indian exits, alongside Axis, Kotak, Citi, and JPMorgan. A significant portion of his practice covers government infrastructure mandates. The Raajmarg Infra Investment Trust, the first government-sponsored InvIT in the roads sector, required an entirely new structure to monetise completed road assets outside a standard disinvestment framework, a transaction that illustrates both the complexity and the novelty of his practice.</t>
  </si>
  <si>
    <t>Arun-S.-Prabhu-1.png</t>
  </si>
  <si>
    <t>Arun Prabhu has developed a leading cyber practice at the firm over the past two decades, and is frequently quoted in the press as a thought leader on data protection and  technology law and policy. This is shown in his leading score for the RISE news media metric, and strong overall reputation rating. He acts for many global tech giants, but his transactional and advisory work cuts across sectors as organisations look to implement new compliance measures to meet India's new data protection requirements. A high score on the RISE instructions metrics draws on a profile client bases as well as handling a large number , and high complexity of cyber matters in the past year. Prabhu is closely engaged with the Indian regulators and helps client anticipate changes in India's rapidly changing regulatory environment. Amongst the tech-savvy cyber practitioners, he also scores highly on the RISE sophistication metrics. He uses a range of AI tools for document review, red teaming, and client-specific tasks, and to help more accurately predict client fees.</t>
  </si>
  <si>
    <t>Partner (Co-Head - Technology &amp; Telecommunications)</t>
  </si>
  <si>
    <t>IND08609</t>
  </si>
  <si>
    <t>Photos/Ashim Sood.jpg</t>
  </si>
  <si>
    <t>Ashim Sood runs a deliberately constrained practice built around depth rather than volume, concentrating on a small number of matters at a time. Direct senior involvement is the product rather than an occasional feature. His RISE instruction scores reflect this: the work he takes on is typically complex in legal rather than financial terms, gravitating toward jurisdictional questions, corporate veil arguments, and cases where the applicable framework is genuinely unsettled. His sophistication score is anchored in how he deploys technology. He uses AI primarily as a verification layer to identify contradictions across documents and cross-check witness statements against correspondence, and is building a knowledge management system to retrieve prior research systematically across matters.</t>
  </si>
  <si>
    <t>Photos/ashish-bhan.png</t>
  </si>
  <si>
    <t>Ashish Bhan has been at Trilegal since 2010 and leads a team of 25 to 30 lawyers, with arbitration accounting for around 45 to 50% of his personal practice. AI usage drives his strong RISE sophistication score. Running searches across Trilegal's 25-year database via Lucio, his team recently identified eight recurring risk areas in a defence tender in days rather than the two days of manual file review previously required. Defence and aviation manufacturers form the core of his client base, with a practice specialising in procurement arbitrations involving G2G contracts, geopolitical sensitivities, and strategic decisions about which claims to press and which to concede to preserve government relationships across jurisdictions.</t>
  </si>
  <si>
    <t>Photos/Ashish-Chandra.jpg</t>
  </si>
  <si>
    <t>Ashish Chandra at DSK Legal is one of a small number of Indian trade lawyers with direct WTO litigation experience, and with the appellate system now near non-functioning, he has redirected that expertise into trade disputes before domestic high courts. This, in part, earns him a place in the top 10 of scores for the RISE instructions metric. Additionally to WTO and trade disputes, Chandra is involved in trade remedies, customs, export controls and sanctions. He advised the Government of Korea until 2024 in Indian trade remedy investigations, a mandate that sits alongside a full-service trade practice spanning the complete range of matters.</t>
  </si>
  <si>
    <t>IND08618</t>
  </si>
  <si>
    <t>Photos/Atul Sharma.png</t>
  </si>
  <si>
    <t>Atul Sharma at Sarvada is the strongest-performing practitioner from a boutique in this cohort, driven by peer recommendations and a mandate profile that includes acting as lead counsel for the Government of India in active WTO disputes and representing a Saudi Arabian chemical corporation before the US Department of Commerce in third-country trade remedy proceedings unrelated to India.
His score for the pricing RISE metric is the highest, underpinned by structured scoping systems and deferred payment arrangements aligned to client billing cycles, a commercial flexibility that larger firms rarely offer.
A practical differentiator in his client service is working directly through clients' SAP and Oracle systems to extract and reconcile raw data for filings, reducing the burden on client teams and improving the accuracy of submissions.</t>
  </si>
  <si>
    <t>Photos/avantika kakkar.jpg</t>
  </si>
  <si>
    <t>Avaantika Kakkar’s strongest RISE metrics are Reputation and Instructions, with high scores driven by consistent peer recognition, strong directory presence and sustained demand from sophisticated clients. Her practice spans the Commission, appellate forums, High Courts and the Supreme Court, a breadth of forum coverage within a single practice that differentiates her in a market where many competition partners operate more narrowly. She is focused on complex, data-heavy merger control work across healthcare, infrastructure and industrial sectors, where market definition and competitive effects are actively contested. She operates a lean staffing model, giving associates and partners greater ownership of matters. On the enforcement side, she has been involved in a number of the regulator’s most significant dawn raids, including instructions from clients outside the firm’s existing base, reflecting trust in high-pressure situations.</t>
  </si>
  <si>
    <t>Ranked 3rd</t>
  </si>
  <si>
    <t>Photos/Avinash Amarnath.jpg</t>
  </si>
  <si>
    <t>Avinash Amarnath's scores highest in Instructions, and is particularly strong for its complexity, followed by client quality and volume metrics. Amarnath's practice has a greater emphasis on complex enforcement work and litigation mandates, for a client mix that includes Google, Intel and major participants in the Amazon and Flipkart investigations, alongside significant corporate groups and media distribution clients. Around half the practice is international, with working relationships spanning Allen Overy Shearman, Freshfields, Linklaters, Davis Polk, and Stibbe. His work sits at the intersection of competition law, administrative law and sector regulation, with a particular concentration in digital markets, telecom-media disputes, leniency and cartel defence.Notable matters include acting on what is understood to be India's first commitments application under the new settlements framework, the Asianet Digital jurisdictional dispute requiring analysis of competing regulatory regimes at the Supreme Court level, and the seller-side challenge in the Amazon and Flipkart investigations raising fundamental questions of CCI procedure and due process.</t>
  </si>
  <si>
    <t>Photos/Ayush A Mehrotra.png</t>
  </si>
  <si>
    <t>Ayush Mehrotra at Khaitan &amp; Co scores highest in the cohort for technology and data use, leveraging the firm's ask.Kai tool across legal research, drafting, and large-scale data processing, with efficiency gains reportedly applied directly to competitive pricing and faster turnaround for clients.
He is a partner in one of the larger indirect tax practices within a full-service Indian firm, integrating customs, GST, excise, and WTO-linked advisory into a practice that also covers sanctions-driven supply chain restructuring for Indian entities affected by US designations across multiple jurisdictions.
A standout recent matter saw Mehrotra secure a reduction of an ASEAN FTA-related demand from over $1.2bn to approximately Rs 11bn, with High Court proceedings ongoing.</t>
  </si>
  <si>
    <t>Photos/Reuben Chacko - ECM.jpg</t>
  </si>
  <si>
    <t>Based in Bangalore, Reuben Chacko leads CAM's South Capital markets team. Chacko is a very forward thinking lawyer and heavy AI user. He is also actively involved in recruitment and now assesses law students for their AI familiarity and proficiency. Other external roles include doing guest lectures in law schools (capital markets / securities law) a few times per year. 
In the RISE rating, his highest scores are in the Instruction and Sophistication set of indicators. Instructions and sophistications. His standout sub indicator is his usage of AI and data, where he is a keen experimenter. One of his use cases was to use AI to identify lender consent requirements (change of shareholding/management/control) across hundreds of bulky financing agreements (common for NBFC/MFI issuers). He predicts it has saved ~60–70% of time versus manual review. 
Chacko also scores very strongly on work complexity: he works in highly regulated sectors such as pharma and healthcare where IPOs/QIPs are challenging, and due diligence involves extensive operational approvals and compliance review. Recent deals include Anthem Biosciences IPO (Bangalore-based pharma); IndiQube (co-working / flexible workspace company) that he took public; Biocon Limited — advised on a QIP (earlier this year): Brigade Hospitality / Brigade Hotel Ventures IPOs.</t>
  </si>
  <si>
    <t>Partner - Regional Co-head Markets Practice (South)</t>
  </si>
  <si>
    <t>Photos/Gauri-Chhabra.png</t>
  </si>
  <si>
    <t>Based in Mumbai, Gauri Chhabra occupies a unique position in the Indian competition market as a senior partner deeply embedded in the city’s private equity and strategic M&amp;A ecosystem. Her highest RISE metric is sophistication, driven by her exceptional commitment to talent development. She differentiates herself through her leadership of a close-knit, eight-associate team that has remained with her since their graduation, moving as a unit from her previous firm. Chhabra fosters this institutional depth through biweekly meetings and by encouraging her team to engage in deep research and thought leadership.
Her instructions score is equally strong, characterized by high-complexity mandates for a prestigious client roster despite a more focused volume of work. She acts for major PE and sponsor-led clients, including Blackstone, WestBridge, and the Ontario Teachers’ Pension Plan, and has represented Petronas and JSW. Her practice, which is approximately 65% merger control, is noted for its responsiveness. This was recently evidenced in the Carlisle and Roop-Highway matter, where her team secured clearance in an unusually compressed timeframe despite managing over 50 product overlaps.</t>
  </si>
  <si>
    <t>Photos/Kirthi-Srinivas-Website-1.jpg</t>
  </si>
  <si>
    <t>Based in Mumbai, Kirthi Srinivas maintains a very high instructions score, placing him among the top tier for this metric. This standing is driven by a high volume of work and a prestigious client roster that leans toward private equity heavyweights like KKR, Bain, and Premji Invest, alongside corporate mandates for JSW Steel, Cube Highways, and Jumbotail. His Experience score is equally robust, reflecting a practice focused on complex, regulator-facing transactions rather than routine filings.
Srinivas’s practice runs approximately 70/30 in favor of merger control over enforcement. A standout mandate is the KKR and Singtel data center transaction, which he notes as the first CCI review of the data center market to have conditions imposed. He believes his value lies in navigating the CCI’s internal dynamics and review style, especially during technically complicated filings and compressed timelines. While he is a "quiet achiever" with a more measured Reputation score across peer mentions and legal directories, his profile is anchored by consistent execution and the sheer scale of the portfolios he manages.</t>
  </si>
  <si>
    <t>Photos/bhakta-patnaik-1.png</t>
  </si>
  <si>
    <t>Bhakta Patnaik at Trilegal built the firm's capital markets practice from scratch a decade ago, growing it into a team of close to 100 lawyers that handled 52 listings last year. His instruction scores are his strongest RISE metric, underpinned by a client base that includes issues, banks and investors such as Blackstone, GIC, ICICI Securities, Bank of America Merrill Lynch, Citigroup, Kedaara Capital and Piramal Group. He is regularly brought in where little precedent exists. Arcil's IPO is a good illustration: the first ever by an asset reconstruction company in India, with a trust-based structure that triggered complex disclosure requirements with no comparable transaction to emulate.</t>
  </si>
  <si>
    <t>Photos/Bharat-Budholia-e1637655967207.png</t>
  </si>
  <si>
    <t>Bharat Budholia ranks 10th in the rise competition rating, with instructions serving as his strongest metric. This standing is driven by a prestigious client roster and a near-equal balance between high volume and technical complexity. Based in Mumbai, Budholia is structurally positioned at the center of the city's private equity deal flow, representing heavyweights such as KKR and TPG, alongside Mankind Pharma, Citibank, Siemens, Qube Cinema, the BCCI, and the IATA.
His reputation is exceptionally high, supported by strong peer recommendations and a consistent profile across legal directories and the legal press. Approximately 60% of his work focuses on merger control, where he differentiates himself by rejecting template-driven filings in favor of bespoke, sector-specific narratives. Within the sophistication category, his use of technology is a practical marker of quality; he has developed searchable databases of past advisory case law and sector-specific notes to ensure institutional consistency.</t>
  </si>
  <si>
    <t>Photos/Binsy Susan.png</t>
  </si>
  <si>
    <t>Binsy Susan's RISE instruction scores are her strongest metric, built on a genuinely multi-jurisdictional practice spanning SIAC, ICC, AAA, and CAM CCBC, with matters seated across Singapore, Brazil, the US, and India. Few India-based practitioners can match that breadth. Reputation scores are solid, underpinned by consistent directory recognition and a social media presence that keeps her visible beyond the immediate legal market. Her instruction base is distinctive in sector range, spanning technology, construction, oil and gas, energy, infrastructure, and telecoms alongside the more typical M&amp;A, JV and shareholder disputes.</t>
  </si>
  <si>
    <t>Photos/Brajendu-bhaskar.png</t>
  </si>
  <si>
    <t>Brajendu Bhaskar's client list at Trilegal is his standout sub-indicator among strong instruction and sophistication scores. Client relationships include ICICI Securities, JM Financial, JPMorgan, and Kotak among others. 
The Lenskart IPO is a good illustration of Bhaskar's work standard: a new-age tech company returning market confidence after the post-Paytm lull, with complexity driven by sophisticated investors, a dense cap table, and commercially sensitive negotiations where shareholder rights survive the listing. 
Earlier time at A&amp;O in London gives him useful perspective on international markets that he brings to domestic clients. His team are growing in their AI skills, for example, analysing  international offering documents  to find comparisons for Indian deals where no domestic precedent exists.</t>
  </si>
  <si>
    <t>Photos/Chakrapani Mishra 2025 web.png</t>
  </si>
  <si>
    <t>Chakrapani Misra has practised arbitration for over 33 years, beginning under the 1940 Act before the current framework existed. His RISE reputation score is his most prominent metric, built through sustained directory recognition and a strong social media profile. His instruction base reflects a predominantly domestic practice of high legal complexity. Standout recent matters include a procedurally challenging ropeway project arbitration for a major Mumbai temple and an ICC cross-border money claim for a Mauritius-based company against an Indian multinational subsidiary.</t>
  </si>
  <si>
    <t>Photos/Manas Kumar Chaudhuri.png</t>
  </si>
  <si>
    <t>Chaudhuri's strongest RISE metric is instructions, placing him at the top of the cohort for this indicator, driven by the quality of his clients and the complexity of his mandates. Experience scores are also notable, with clients reporting high satisfaction with his advisory style. His reputation score is moderated by fewer peer mentions relative to his instruction volume, though directory recognition remains strong. He holds the position of global Co-Chair of the IPBA Competition Law Committee and has served as a Non-Governmental Adviser to the CCI for the ICN and BRICS, reflecting an international profile that extends well beyond domestic practice. An old hand in the field, his experience spans the pre-CCI era to the current regime, with a specialism in enforcement cases and dawn raids where he adopts a restrained, risk-weighted approach, starting with forensic damage assessment rather than promising specific outcomes. His sophistication score reflects a heavy investment in talent development, training juniors in courtroom instincts and research methodology to pass on his institutional understanding of how Indian competition law has been constitutionally embedded over time. He has also been a visiting guest faculty on competition law of various National Law Schools of India for over a decade now.</t>
  </si>
  <si>
    <t>Photos/Deeksha manchanda.jpg</t>
  </si>
  <si>
    <t>Deeksha Manchanda at Chandhiok &amp; Mahajan scores most strongly on RISE instruction and sophistication metrics, with volume and technology the standout indicators. This is an unusual pairing that points to a practitioner embedded in technically demanding, long-running enforcement matters rather than one whose profile is driven by market pull or transaction flow. Her practice runs 60/40 in favour of behavioural, advisory, and enforcement work over merger control. Google is the clearest centrepiece, with multiple overlapping matters since 2020, a coordinated appeals strategy, and a substantial penalty reduction among the outcomes. JCB, Michelin, and Coca-Cola feature alongside, several on matters stretching across years rather than single mandates. That sticking power on complex, regulator-facing disputes is the most distinctive feature of the practice. She integrates AI tools actively into her workflow and takes a hands-on approach to team development and internal culture-building.</t>
  </si>
  <si>
    <t>Photos/Devinder Bagia.jpg</t>
  </si>
  <si>
    <t>Devinder Bagia at Lakshmikumaran &amp; Sridharan ranks third overall for the RISE international trade rankings. This is one behind V Lakshmikumaran, the founding and managing partner of LKS, whom Bagia acts as second in command to for international trade matters, a position that reflects both seniority and the breadth of his mandate oversight.
He scores strongly on the instructions RISE metric, with a client base concentrated in petrochemicals, chemicals, pharmaceuticals, metals, and glass fibre, spanning the globe as well as Saudi Arabian, US, and Chinese clients across India's most active import sectors.
A standout recent matter involved a petrochemical company in trade remedy proceedings before the DGTR, where he successfully deployed rarely made arguments for cost adjustments including from start-up and shutdown costs. His technology adoption is at an earlier stage than some peers, using Copilot selectively for research, though the firm is developing a bespoke AI tool for the practice.</t>
  </si>
  <si>
    <t>Photos/Dheeraj-Nair-profile-picture-1200x432.jpg</t>
  </si>
  <si>
    <t>Dheeraj Nair's RISE instruction metrics reflect high volume across complex mandates, concentrated in private equity shareholders' disputes, and technically complex arbitrations in infrastructure, oil and gas sectors. These span international, domestic, institutional, and ad hoc proceedings alongside white collar and insolvency work. A standout matter involved defending three major PE investors against an emergency SIAC injunction application, where he not only resisted the order but secured one against the counterparty. He focuses on identifying settlement windows early and delivering outcomes quickly, qualities reflected in his strong RISE Experience metrics.</t>
  </si>
  <si>
    <t>Photos/Dhruv-Rajain.png</t>
  </si>
  <si>
    <t>Dhruv Rajain at Cyril Amarchand Mangaldas scores most strongly on RISE Instruction metrics, a profile that fits a hands-on merger control practitioner whose value lies in skilled regulatory navigation and technical filing work. His deal exposure spans healthcare, financial services, data centres, paper and pulp, and infrastructure. Notable matters include a data centre transaction, understood to be the first CCI review of that market with conditions imposed, and an ITC-related paper and pulp filing requiring close market analysis in a concentrated sector. A roads and infrastructure matter in which the team persuaded the CCI to extend post-facto treatment to a unit acquisition structure in a novel way adds a first-instance dimension to his instruction profile. His RISE Sophistication metrics are also strong, particularly in pricing, where he adopts a flexible approach combining hourly and fixed-fee models depending on the mandate. He places particular weight on understanding the combinations division’s internal processes and maintaining working relationships with the review team.</t>
  </si>
  <si>
    <t>Photos/Vishnu Dutt.jpg</t>
  </si>
  <si>
    <t>Dutt has an integrated securities law practice, and deep understanding of how SEBI and SAT will rule on certain matters, enhancing the quality of her diligence and disclosures for clients. Her highest RISE metric was in Instructions. Key clients include mid-sized investment banks such as Ecmoris, MK Capital, IIFL, Centrum, Dam Capital, and Motilal Oswal, with Motilal Oswal and IIFL gaining a lion's share of medium-sized deals (in the 500–1,000 crore range) over the last 18 months.
Dutt’s other high-scoring sub indicator was in the development of junior lawyers. Training extends beyond capital markets, reflecting the firm's philosophy of "holistic lawyering". For example, capital markets lawyers review banking laws and attend sessions on labour codes and the new Securities Market Code. Dutt emphasises that capital markets is a practical discipline with a steep learning curve in the first 12–18 months. The firm consciously ensures that juniors understand the rationale behind templates rather than simply relying on precedent-driven drafting.
Significant recent matters included a CNC manufacturer IPO notable for its high-profile client list including Apple, Ferrari, Rolls Royce, Sukhoi, Dassault, and defence manufacturers.</t>
  </si>
  <si>
    <t>Photos/Ela-Bali-profile-picture-1200x432.jpg</t>
  </si>
  <si>
    <t>Ela Bali’s achieves an exceptionally high RISE sophistication score that distinguishes her within the cohort. This standing is driven by a prestigious client roster and her involvement in highly complex, contentious mandates. She represents global investors and corporations, including Temasek, EQT, Hyundai, Ford Motor Company, Alpha Wave Global, and IHC Abu Dhabi. A standout example of her high-value work is the Temasek and Alpha Wave investment in Haldiram’s, one of the largest transactions in India’s FMCG sector.
Her practice is split evenly between merger control and enforcement, with notable instructions including the MakeMyTrip-Oyo MFN matter and the Hyundai spare parts aftermarket litigation. Bali’s Sophistication score is her second-strongest metric, reflecting her expert use of AI tools for research and document summarization alongside JSA’s internal knowledge management systems. While she remains a high achiever in terms of mandate complexity and volume, her Reputation score reflects a distinctily more moderate public presencm with only some profile across legal directories.</t>
  </si>
  <si>
    <t>Photos/SameerTapia.JPG</t>
  </si>
  <si>
    <t>Founder and senior partner of ALMT Legal, Sameer Tapia's RISE instruction metrics are his strongest, driven by a client base of European, American, and Far Eastern multinationals alongside large Indian conglomerates, most of whom mandate him directly against Tier 1 Indian firms. Reputation scores follow closely, built less through directory recognition than through an active presence in the business press and a social media profile that keeps him visible well beyond the legal market. The firm's UK roots and seats across London, Singapore, and Dubai reflect a practice that has been cross-border in character from the outset. He uses AI for case law research only, treating it as a probability tool rather than a substitute for commercial judgement. He frames junior development around the distinction between grinders, minders, and finders as a map for career progression.</t>
  </si>
  <si>
    <t>Photos/Gaurav-Desai.png</t>
  </si>
  <si>
    <t>Gaurav Desai’s highest RISE metrics are in Experience, driven by a practice where clients value his grounded, operational approach to mandates. His Instructions score is equally robust, reflecting a portfolio of work for sovereign wealth funds, leading automotive manufacturers, and major financial institutions, including Fairfax and HDFC Capital Advisors. He also regularly advises global conglomerates such as Johnson &amp; Johnson.
Desai splits his practice between corporate M&amp;A and competition law, with a primary focus on merger control. He differentiates himself through his practical analysis of India's deal value thresholds; he notes that while these were designed for digital and asset-light transactions, they are increasingly capturing traditional brick-and-mortar sectors in ways the CCI did not fully anticipate. This sophisticated regulatory reading is shaped by his direct involvement in live filing activity rather than surface-level observation. While his profile remains understated relative to some peers, his work reflects a practitioner deeply embedded in the operational reality of Indian merger control and high-stakes transactional strategy.</t>
  </si>
  <si>
    <t>Photos/gautam-chawla-1.png</t>
  </si>
  <si>
    <t>Gautam Chawla at Trilegal is anchored in this RISE competition ranking by the quality and consistency of his client base, with repeat instructions from institutional investors, pension funds, and large asset managers forming the backbone of a practice built on sustained relationships rather than episodic mandates. His practice runs approximately 55 to 60% merger control, with enforcement forming the remainder. He favours concise, decision-oriented guidance over hedged legal analysis. AI and technology usage is notable within his RISE sophistication scores, with structured knowledge management systems, precedent databases, and internal regulatory alerts underpinning a model built for reliable, high-throughput delivery.</t>
  </si>
  <si>
    <t>Photos/Gautham Srinivas web 2025.png</t>
  </si>
  <si>
    <t>Gautham Srinivas runs a pure-play ECM practice, covering IPOs, QIPs, and public offerings exclusively, with relationships built around promoters and management teams over the long term. Instruction scores are his strongest RISE metric, with value and client sub-indicators among the highest in this ECM cohort. Srinivas is comfortable working in deals without precedent. For example, Fractal Analytics, which recently listed as one of the world's first AI companies to go public in India, and Aditya Infotech, a $150mn CCTV technology IPO subscribed approximately 100 times. He is committed to his long-term client relationships and not too concerned at only chasing headline transactions at their expense, and keen to build relationships for the practice.</t>
  </si>
  <si>
    <t>Photos/Thomas George.png</t>
  </si>
  <si>
    <t>George's client list says it all. In the Pine Labs IPO, he advised approximately 17 selling shareholders including Peak XV, Mastercard, and PayPal, and his banking relationships span JM Financial, Kotak, ICICI Securities, Citi, Morgan Stanley, JPMorgan, and Goldman Sachs. His RISE strengths are in his instruction scores, where his client base is a standout sub-indicator and in his sophistication scores. His work on the WeWork India and Indicube listings, reveal a sub-specialism in a pocket of the market that has genuine structural complexity. In terms of the sophistication of his practice, his team uses AI for consent checks across financing contracts, diligence verification, and first-pass document review, allowing senior lawyers to focus on higher-value legal work.</t>
  </si>
  <si>
    <t>Photos/Gokul-Rajan-1.png</t>
  </si>
  <si>
    <t>Gokul Rajan's highest RISE scores are for instructions and experience. In the latter indicator, he has some of the highest scores in the cohort from a top notch client base. He has worked on some of the largest transactions in the Indian market such as the Hyundai IPO at approximately US$3bn, LG India, Zomato, Swiggy and LIC, with Hyundai and LG executed back-to-back. His time with Linklaters, as well as an in-house lawyer at Citi and his M&amp;A work, gives him a big picture approach to managing transactions.</t>
  </si>
  <si>
    <t>Photos/Gunita_Pahwa.jpg</t>
  </si>
  <si>
    <t>Gunita Pahwa's RISE instruction scores are her strongest metric, built on a client base concentrated in national ports and state and regional governments. This produces consistently large-ticket mandates and repeat instructions that few infrastructure practitioners outside the top-tier firms can match. Reputation metrics are supported less by directory recognition than by a strong social media presence and regular news coverage, reflecting a market profile built on visibility as much as peer citation. Her practice spans ports, roads, and airports with a dedicated focus on public sector undertakings and government contracts, extending to international proceedings at SIAC, ICC Paris, and Nepal.</t>
  </si>
  <si>
    <t>Photos/harman-singh-sandhu.png</t>
  </si>
  <si>
    <t>Harman Singh Sandhu at Shardul Amarchand Mangaldas is the second-ranked practitioner in this RISE competition ranking and one of the founding figures of India's competition law landscape, having helped build the practice before the regime came into force. His RISE reputation metrics reinforce this, with the highest number of peer recommendations in the cohort and a very strong directory presence. Prior experience at the European Commission and Ofcom gives his approach a deeply institutional character, visible in how he frames regulatory strategy and remedies work. His practice spans large strategic domestic and international transactions, phase-two reviews, and remedies-heavy deals across entertainment, mining, cement, steel, chemicals, and infrastructure, alongside cartel and dominance matters for government bodies, domestic conglomerates, and global multinationals. He has been involved in a significant proportion of India's most complex merger control cases since the regime's inception. His enforcement practice is equally deep, encompassing the successful defence of major domestic and multinational enterprises in high-profile cartel and abuse of dominance proceedings across sectors including cement, coal, paints, tyres, and chemicals sectors. Talent development is standout within his RISE sophistication scores, with deliberate delegation and systematic training underpinning a practice built for institutional continuity rather than individual franchise.</t>
  </si>
  <si>
    <t>Harsh Walia 2023-web.png</t>
  </si>
  <si>
    <t>Harsh Walia spent his early career inside British Telecom and Bharti Airtel before joining Khaitan in 2011, and that in-house background shapes a practice where telecom and technology regulations increasingly overlap. His instruction score is his strongest RISE metric, acting for large Indian and International clients on telecom licensing, AI and privacy governance, cross-border data flows, fintech regulation, and cybersecurity incident response. He has a good understanding of government and regulators having participated in closed-door drafting sessions for the DPDP Act. His high sophistication of practice RISE score draws on advanced use of technology, including the firm's proprietary AI and precedent systems. His most characteristic mandates involve advising on matters involving privacy issues, OTT, cloud telephony and emerging technologies such as digital payments and AI ransomware attacks where the legal problem is not just the breach but the payment, navigating FEMA, RBI, IPC, and CrPC simultaneously while advising clients through high pressure and urgent situations.</t>
  </si>
  <si>
    <t>Hemant Krishna.png</t>
  </si>
  <si>
    <t>Hemant Krishna joined SAM in 2023, after working in technology practices at other leading law firms and a stint as a legal tech entrepreneur. He receives the second highest score on the RISE sophistication of practice metric, as one of the most tech-savvy practitioners in this list. Krishna was part of the team at SAM which led the evaluation and roll-out of legal AI tool Harvey. He was involved in digital transformation projects at previous firms as well, and says he now "uses AI as regularly as email but always with critical distance and deliberate skepticism." His TMT transactional and regulatory practice has a significant focus on tech sector M&amp;A, and Krishna also handles data and cyber advisory work as part of these larger client mandates.</t>
  </si>
  <si>
    <t>Photos/ila-kapur.png</t>
  </si>
  <si>
    <t>Ila Kapoor’s RISE Reputation metric places her among the leading practitioners in this cohort, with strong Instruction scores reflecting her consistent role on high-value disputes. Her practice is increasingly focused on private equity matters, where she advises foreign PE firms and Indian promoters on exit and post-acquisition claims, alongside a steady flow of hospitality arbitrations. She also handles construction disputes with international counterparties and multi-jurisdictional commercial arbitrations. She trained in the US and conducts her own advocacy rather than routinely briefing senior counsel, supporting her cross-border approach.</t>
  </si>
  <si>
    <t>Photos/abhinav-2.png</t>
  </si>
  <si>
    <t>In 2024, Abhinav Kumar moved with a senior member team from Cyril Amarchand Mangaldas to build a high quality ECM practice at TT&amp;A. His RISE instruction scores reflect what he has built. Client and deal value scores are particularly strong, showing he has kept a foothold at the upper end of the market with a leaner team. Having watched the deleterious impact of a busy market on lawyers, he keeps a deliberate cap on the number of transactions per associate and invests more heavily in supervision than most of his peers. His standout recent matter is Singtel's sale of shares in Bharti Airtel, acting as the only counsel across two transactions totalling approximately US$2.5bn</t>
  </si>
  <si>
    <t>Photos/Jabarati-Chandra-GS.jpeg</t>
  </si>
  <si>
    <t>India's first insurance company IPO, large-scale QIPs, and tech listings including that of Pine Labs are in Jabarati Chandra's bag. This run of transactions gives her high scores for client base and mandate value in this RISE cohort of ECM lawyers. However, her highest RISE metric comes from her Experience scores: her clients really enjoy working with her.  She is strong in the tech sector, and feels it is a sector that requires more than execution prowess and one in which she can exert her fairly unique judgement.  Chandra is deliberate about building a team that mirrors her approach: one that can both digest regulatory updates, provide practical context and then properly advise clients on what actions to take.</t>
  </si>
  <si>
    <t>Photos/Abhiroop-Lahiri-.png</t>
  </si>
  <si>
    <t>Instruction and experience scores are Abhiroop Lahiri's strongest RISE metrics. He joined CAM from IndusLaw in 2024, with a client base that spans small finance banks including Ujjivan and Jana, PE and VC houses exiting through IPOs, and new-age technology companies. 
Lahiri'ssocial media presence is a notable sub-indicator, reflecting a market profile that extends beyond transactions. His practice is deliberately broad across issuer, bank, and selling shareholder mandates, and his healthcare work, including the Doctor Agrawal IPO and Niva Bupa representing Bupa UK's exit, illustrates his range. Everstone Capital is a  particularly valued client, where he acts as promoter counsel across multiple listings in pharma, QSR, and industrial parks.</t>
  </si>
  <si>
    <t>Photos/dhruv-gupta-.png</t>
  </si>
  <si>
    <t>International trade experts are rare, and rarer still in India's largest five firms. Dhruv Gupta is an exception to this rule, ranking fourth overall in the RISE ratings and third for the sophistication of his practice. He scores highly in these sophistication RISE metrics for his advanced use of AI tools for data analysis, and a holistic approach to training junior lawyers, which factors in commercial, political and technical training in structured and unstructured sessions.
His focus on the steel industry, one of the most litigated and politically sensitive areas of international trade law, gives his practice a distinct sectoral depth. Gupta acts for these clients both at home and abroad, working on cases in the EU and in Brazil since the beginning of 2024, in addition to cases held before domestic forums.</t>
  </si>
  <si>
    <t>jaideep-reddy-4.png</t>
  </si>
  <si>
    <t>Jaideep Reddy ranks eleventh in the 2026 RISE Cyber rating with strong scores for instructions and on the client experience metrics. His instruction score reflects a practice servicing top-tier clients for legally complex and high stakes work.  It includes advising companies and investors on cybersecurity matters, including breach response and crisis management, regulatory reporting, cyber due diligence in transactions, and ongoing compliance and governance. Reddy also scores well within the reputation RISE rating for his strong media profile in news and social media, where he is frequently cited as an expert on crypto. Reddy describes his practice as having a special situations focus, where he often guides clients through regulatory proceedings and crises such as hacking, data breaches and ransom demands.</t>
  </si>
  <si>
    <t>Jyotsna-Web-1-1-1.png</t>
  </si>
  <si>
    <t>Jyotsna Jayaram ranks fourth in the 2026 RISE Cyber rating, with the equal highest score for the RISE instructions metric. As part of the most often recommended team for cyber advice in India, she has built a strong client bases which spans global technology companies, fintech, banking and financial services, telecom, e-commerce, and manufacturing. She handled a high volume of incident management, regulatory compliance, and DPDP readiness mandates in the past year. Jayaram is particularly tuned into the technical aspects of her clients' products, and gets involved at the very early stages to assist with project development and strategy. Jayaram also scores well on the RISE sophistication metric, and regularly uses a range of advanced technology and AI tools in her work.</t>
  </si>
  <si>
    <t>Photos/Kapil Arora - Arb.png</t>
  </si>
  <si>
    <t>Kapil Arora's RISE instruction metrics are built on a concentrated book of repeat international clients in construction and infrastructure arbitration. Clients include Larsen &amp; Toubro, Sembcorp Green Infra and Hellmann Worldwide Logistics, placing him at the higher end of the market for cross-border engineering disputes. Fifteen years of accumulated technical fluency allows him to explain turbine and boiler mechanics to tribunals himself. His Talent Development sub-indiciator is also strong as he gives junior lawyers early exposure to high-stakes advocacy, producing a top-heavy team with negligible attrition. All advocacy and cross-examination is conducted in-house rather than briefing external counsel.</t>
  </si>
  <si>
    <t>Photos/Ketan-Gaur.png</t>
  </si>
  <si>
    <t>Ketan Gaur holds rights of audience before the Singapore International Commercial Court and Court of Appeal, a practical credential that reflects the genuine shape of his practice. His mandates span Singapore, London, Germany, and India, and he routinely handles arbitration alongside the simultaneous enforcement, set-aside, and interim relief proceedings that follow. His RISE instruction score is his strongest metric, with a near-perfect complexity rating, built on a client base that includes sovereign-linked entities alongside multinationals. His RISE experience score is equally notable. He is appointed as arbitrator by Indian constitutional courts in ad hoc proceedings, and he regularly advises general counsel on operational and strategic questions beyond the formal mandate, giving him unusual commercial depth for a partner at his stage.</t>
  </si>
  <si>
    <t>Photos/Kingshuk.png</t>
  </si>
  <si>
    <t>Kingshuk Banerjee concentrates almost exclusively on arbitration, with 90% of his billable work in the practice. His focus is M&amp;A and shareholder disputes, cross-border private equity investment claims, and a small number of construction, maritime, and defence matters. His RISE instruction score reflects high volume and legal complexity, with a client base that includes a major mining company, Tarini Prasad Mohanty, and Maxis Communications Berhad. His RISE reputation score is built through consistent directory recognition and a strong social media presence rather than purely through peer citation. He handles advocacy in-house rather than briefing external senior counsel, giving clients continuity between strategy and courtroom presentation. What distinguishes him is a tendency toward deep over-preparation, a discipline he credits for consistently producing results rather than treating as inefficiency.</t>
  </si>
  <si>
    <t>Photos/Lionel-D_Almeida_5789015_1.jpg</t>
  </si>
  <si>
    <t>Lionel D'Almeida has strong market share, as evinced by his instruction scores and a media profile that reflects his role on transactions with public market significance. His client base leans toward private equity and promoter-backed companies, and he advises across the full stakeholder spectrum, acting for issuers, promoters, banks, and PE investors. This breadth allows him nuanced understanding of where transactional tensions are likely to be. Alongside the International Financial Services Authority, he helped shape the regulatory framework for India's GIFT City IFSC. His work at the intersection of practice and policy is useful in a jurisdiction that is still defining its rules.</t>
  </si>
  <si>
    <t>Photos/Madhurima-Mukherjee-profile-picture.jpg</t>
  </si>
  <si>
    <t>Madhurima Mukherjee's reputation score is among the strongest in this RISE cohort, reflecting a career spent building capital markets practices across several of India's leading firms including Amarchand Mangaldas, Luthra and Luthra and AZB. Now at JSA, she is one of India's most experienced practitioners. Naturally, her RISE Instruction score is high, and she handles both a large volume of work that is high in value.  Recent work with Google and Microsoft is reflective of her quality practice: both engagements required her team to go well beyond standard legal counsel scope, guiding global corporates through the mechanics of the Indian capital markets process in a way that was closer to a banking advisory role than a legal one.</t>
  </si>
  <si>
    <t>Photos/Manan-Lahoty.jpg</t>
  </si>
  <si>
    <t>Manan Lahoty heads India's largest capital markets teams by headcount and receives high numbers of peer recognitions. What distinguishes his practice is a combination of pioneering transaction work and a team that handles demanding mandates without the attrition that afflicts comparable practices. Lahoty led India's first reverse flip IPOs, including PhonePe and Groww, alongside Swiggy, Hella Infra, and Vishal Mega Mart, navigating structural challenges with little precedent. His track record for novel transactions, paired with strong reputation and instruction scores, sets him clearly apart.</t>
  </si>
  <si>
    <t>Photos/Manisha Shroff.png</t>
  </si>
  <si>
    <t>Manisha Shroff at Khaitan &amp; Co receives more peer recommendations than any other practitioner in the DCM list and her RISE Reputation scores are among the strongest in this year's rating. Alongside, her RISE reputation score is reinforced by a media presence and social media following that reflect a market profile built over consistent years at the top end of the market. She leads one of the few purely DCM focused practices in India, a specialism that is genuinely rare given the ECM orientation of most Indian capital markets work. Her instruction record is market leading on volume and value of corporate bond issuances, spanning multiple Vedanta bonds, JSW Steel, airport and infrastructure bonds, and NBFC offshore debt, a sector that has grown significantly as companies seek cheaper international funding. Axis Bank programme updates and recurring infrastructure mandates round out a practice that operates across the full range of Indian corporate debt.</t>
  </si>
  <si>
    <t>Photos/Manmeet Singh.png</t>
  </si>
  <si>
    <t>Manmeet Singh joined Cyril Amarchand Mangaldas in December 2024 from Saraf and Partners, bringing a practice concentrated in high-value infrastructure and construction disputes for Indian conglomerates, private equity platforms, and energy companies. His RISE instruction scores reflect a preference for complex, high-ticket matters over volume, with six to seven arbitrations a year each typically involving multiple expert workstreams across delay, quantum, and technical disciplines. His RISE sophistication score is equally strong, underpinned by two habits that are more systematic than most. His team uses AI daily for document review, bundle summarisation, and cross-examination preparation, and he tracks court judgements closely to monitor the evolution of arbitration and contract law in India, feeding that analysis directly into how he builds legal arguments. What sets him apart is the investment he makes in anticipatory strategy, modelling how opposing counsel will frame a set of facts and how a tribunal is likely to read them before a hearing stage is reached.</t>
  </si>
  <si>
    <t>Mathew Chacko.jpg</t>
  </si>
  <si>
    <t>Mathew Chacko receives the second highest reputation score in this RISE cyber cohort, and leads one of the busiest data protection practices in Asia. His boutique firm advises around 100 Nasdaq companies. He was the second most mentioned lawyer by peers, and receives a top score for his social media presence, alongside high scores for profile in directories and news media. His instruction score follows closely, built a client base spanning international and domestic banks, global insurers, and technology multinationals. While his team handled 59 cyber incidents in 2025, it is the complexity of the high-stakes regulatory and strategic mandates he personally leads that makes his practice stand out.</t>
  </si>
  <si>
    <t>Photos/Mayank Jain.png</t>
  </si>
  <si>
    <t>Mayank Jain at Khaitan &amp; Co leads a trade practice anchored in customs work across a range of industry sectors, supplemented by trade remedy matters and a developing policy advocacy capability, having joined from trade and tax specialists Lakshmikumaran &amp; Sridharan.
His closest client relationship is with steel giant Jindal Stainless, and a recent standout matter saw him secure a zero duty margin for a Chinese steel exporter in an anti-dumping investigation before the DGTR, the only exporter in the proceedings to achieve that outcome.
Jain provided comments to multiple articles in business publications in 2025 on trade matters, and scores highly in the RISE news media metric for his public profile.</t>
  </si>
  <si>
    <t>Photos/Sudghir Bassi.png</t>
  </si>
  <si>
    <t>Membership of SEBI's Primary Market Advisory Committee gives Sudhir Bassi a direct line into regulatory policy. His work on ESOP grandfathering rules for founders reclassified as promoters is a concrete example of that influence translating into outcomes for clients. Instruction and experience scores are his strongest RISE metrics, with client base and complexity the standout sub-indicators. His practice focuses on multinational subsidiaries seeking Indian listings and mature PE-backed companies, a client profile that tends to generate structurally demanding work. Blackstone is a named repeat client, which gives his team a rounded experience and Bassi has a steady pipeline of deals in the $300mn to $800mn range.</t>
  </si>
  <si>
    <t>Namita Viswanathan.webp</t>
  </si>
  <si>
    <t>Namita Viswanath's sophistication score is her strongest RISE metric, reflecting a technology-driven practice where she has access to leading legal AI tools and works on flexible and data-driven pricing models. Viswanath also advises clients on using legal AI tools within their in-house legal teams, ensuring compliant and safe storage and sharing of data. Her RISE instruction score reflects a high-volume, cross-sector practice spanning global technology companies, financial services, insurance, healthcare, and crypto clients. Recent work includes DPDP readiness programmes that require rebuilding privacy frameworks from the ground up. She describes her differentiating quality as positioning: sophisticated clients will have already read the law, and so the value she adds is increasingly strategic. She trains the junior members of her team to also think as business enablers not just legal advisers.</t>
  </si>
  <si>
    <t>Photos/Naresh Thacker.jpg</t>
  </si>
  <si>
    <t>Naresh Thacker established his own chambers in 2025 after 17 years in arbitration, most of them at Economic Laws Practice where he built the disputes practice from a base in regulatory and tax work. His RISE instruction score is his strongest metric, running 11 to 12 matters a year at the higher end of ticket size, weighted toward technically demanding construction, dredging, and freight corridor disputes alongside shareholder work. His client base spans both direct corporate instructions and law firms that brief him as counsel. What distinguishes him for instructing firms is a fluency in translating legal strategy into communication that reaches client management directly, something he attributes to having spent over a decade operating inside a law firm before moving to independent practice.</t>
  </si>
  <si>
    <t>Photos/naval-chopra.png</t>
  </si>
  <si>
    <t>Naval Satarawala Chopra at Shardul Amarchand Mangaldas scores most strongly on RISE sophistication metrics. He has shaped one of the most deliberately architected competition practices in India, with shared leadership, practice-wide revenue targets, and capacity-based staffing reflecting a deliberate choice to build a durable institution rather than a personal franchise. AI usage is a standout within those scores, extending beyond summarisation into stress-testing theories of harm, custom workflow-building, and integrated knowledge management. His practice covers merger control, cartel investigations, and abuse of dominance, with a recent uptick in cartel matters alongside consistent merger control and behavioural work. Instructions skew international and cross-border, benchmarked against elite global competition teams rather than purely domestic peers. He estimates roughly half his time now goes to practice and firm management, a split that reinforces the institutional character of his profile.</t>
  </si>
  <si>
    <t>Photos/Neelambera Sandeepan.jpg</t>
  </si>
  <si>
    <t>Neelambera Sandeepan at Lakshmikumaran &amp; Sridharan scores most notably on RISE instruction metrics, with clients and complexity the standout indicators. Her mandates reflect increasing complexity driven by procedural challenges, multi-forum litigation, and cross-border coordination, often producing outcomes with broader implications for regulatory process and enforcement. Her work is focused on regulated and technology-driven sectors, where competition issues arise across both transactions and ongoing enforcement and compliance matters. Talent development is notable within her RISE sophistication scores. Associates spend time across practice areas, supported by internal knowledge sharing and input from economists and international practitioners, with conference attendance and certifications actively encouraged. She takes a holistic view of client mandates, understanding how the overall business operates rather than advising on the law alone, and focuses on finding solutions that are workable across the entire business rather than creating regulatory roadblocks.</t>
  </si>
  <si>
    <t>IND08614</t>
  </si>
  <si>
    <t>Photos/Nehaa-Chaudhari.webp</t>
  </si>
  <si>
    <t>Nehaa Chaudhari has achieved a strong RISE reputation score, and was recommended by peers as a leading expert in data protection and technology policy and regulation. Her practice at Ikigai Law spans public policy, data protection compliance, AI governance, intermediary liability, telecom regulation, and cross-border data transfers alongside other commercial and transactional work. Clients include large US technology companies and foreign firms requiring India-specific advisory, and Indian startups across the full growth lifecycle. She receives a high score on the RISE sophistication of practice metric, based largely on a tech-savvy practice where she activities experiments with a range of new AI tools.</t>
  </si>
  <si>
    <t>Photos/nikhil-naredi.png</t>
  </si>
  <si>
    <t>Nikhil Naredi at Shardul Amarchand Mangaldas &amp; Co. leads the firm's Mumbai capital markets team alongside Prashant Gupta in Delhi. His reputation scores are his strongest RISE metric. 
Highly regarded by peers, he draws repeat mandates from investment banks and PE houses, including Blackstone and Warburg Pincus portfolio companies. 
Marquee transactions include the Hyundai Motors IPO and the ICICI Prudential Mutual Fund IPO, notable for coordinating one of India's largest syndicates with 18 underwriters. His team holds mandates on two large REIT and InvIT transactions, including a circa $500mn Blackstone portfolio deal currently in progress.</t>
  </si>
  <si>
    <t>Nikhil-Narendran-Partner-Trilegal.png</t>
  </si>
  <si>
    <t>Nikhil Narendran ranks first in the 2026 RISE Cyber rating. He was the most mentioned practitioner in the market survey by a significant margin and receives the top reputation score. Cyber advice is part of Narendran's broad TMT sector practice and includes breach response, data protection implementation, AI regulatory strategy, and free speech litigation. His high instructions score draws on a client base that includes a number of global tech giants. A recent standout matter was securing a Supreme Court order reinstating a Wikimedia page taken down by Delhi High Court directive, a landmark free speech outcome in a politically challenging environment. Narendran also advises on AI policy and recently contributed to a Trilegal white paper on generative AI regulation used by the Indian government.</t>
  </si>
  <si>
    <t>Photos/Nisha-Kaur-Uberoi-profile-picture.jpg</t>
  </si>
  <si>
    <t>Nisha Kaur Uberoi at JSA is the highest-ranked practitioner in this RISE competition ranking, achieving the highest instruction score in the cohort and a reputation score that places her among the most visible competition lawyers in the Indian market. Clients select her specifically for the competition piece on major transactions, often independently of the firm handling the broader deal, and bring difficult matters to her team.
Her matters include Apple's challenge to the CCI's penalty regime, major cartel defence work and multibillion-dollar merger control mandates for clients including Schneider, GIC and Nippon Steel. Complexity is a consistent feature: securing behavioural rather than divestment remedies, clearing difficult transactions without phase-two review, and working across the intersection of law, economics and commercial strategy. She has built a large specialist competition team and trains juniors to think as regulators as well as advisers, a deliberate investment in institutional depth which prevails over technology-led efficiency.</t>
  </si>
  <si>
    <t>Photos/Nitesh Jain.png</t>
  </si>
  <si>
    <t>Nitesh Jain joined Trilegal in 2021 to strengthen the disputes practice. His RISE instruction score is his strongest metric, built on high-value cross-border mandates for clients including Blackstone, Mitsui and Zee Entertainment across seats in Singapore, London, and New York. A standout matter involved winning a SIAC arbitration, and successfully enforcing and implementing a foreign emergency order through to the Indian Court using an indirect mechanism. His RISE sophistication score reflects deliberate investment in talent. He divides cross-examination responsibilities between partners and team members, organised a mock cross-examination trial attended by around 100 general counsel and lawyers, and sends team members to conduct their own advocacy in domestic proceedings to build the instincts that complex international arbitrations require.</t>
  </si>
  <si>
    <t>Photos/Oishik Bagchi_0.png</t>
  </si>
  <si>
    <t>Oishik Bagchi scores most strongly on instructions and sophistication in the RISE metrics, with talent development and client base his standout sub-indicators. 
Bagchi starts his junior training programme each June with new hires, running weekly sessions on drafting and capital markets processes, supplemented by a course with Gujarat National Law University. It blends online and offline teaching and functions as a recruitment pipeline. 
His client base spans Morgan Stanley, Citi, Goldman Sachs, and ICICI Securities on the banking side and Vikram Solar and Force Cry on the company side, with clients often retained post-IPO for follow-on work. The Vikram Solar IPO, executed in a nascent renewable energy sector with limited precedent and disputes managed in court late in the timeline, illustrates the complexity of his practice.</t>
  </si>
  <si>
    <t>Photos/Richa Choudhary.png</t>
  </si>
  <si>
    <t>One of the younger practitioners near the top of the RISE rankings, Richa Choudhary at Trilegal has notable instruction scores, with a client base score that reflects the blue chip quality of her clients.  She works across both equity and debt capital markets and scores highest overall for volume of matters while maintaining strong deal quality. One of her most distinctive transactions is the first listing on India's Social Stock Exchange, advising SGBS Unnati Foundation on a Zero Coupon Zero Principal instrument IPO with no prior template. The structure attracted enough international attention that the Malaysian Stock Exchange approached her team for guidance on setting up a comparable framework.</t>
  </si>
  <si>
    <t>Photos/Parthsarathi Jha.jpg</t>
  </si>
  <si>
    <t>Parthsarathi Jha at Economic Laws Practice appears in both the international trade and competition RISE rating, a dual recognition that reflects the quality of mandate his practice attracts in both. He scores most strongly on the reputation and instructions RISE metrics for international trade, with the third-highest number of peer recommendations and a client base that includes the Government of India, whom he is currently advising on an ongoing WTO dispute with China concerning production incentive schemes in the EV sector. Jha also scores strongly on instructions for his competition work. Overall, his practice sits at the intersection of trade and technology, advising major technology companies and large e-commerce platforms on trade policy issues where cloud infrastructure and digital commerce create novel regulatory questions.</t>
  </si>
  <si>
    <t>Photos/Anisha Chand.jpg</t>
  </si>
  <si>
    <t>Placed 15th in the 2026 RISE Competition list, Anisha Chand has high sophistication and experience scores. Within the Sophisitcation score, Chand's attention to talent development and approach to pricing reflect a practice with little attritition rate and encouragement to junior lawyers to experiment AI within upskilling courses. 
Chand's Instruction scores  with client quality and mandate value as the leading contributing metrics. This reflects a practice built on sustained throughput in substantial merger control work rather than mere high-profile visibility. Her instructions profile points to consistent flow from large strategic and sponsor-led transactions, with the team among the most active in Indian merger control by filing volume and particularly prominent in long-form notifications.
The practice is notable for sitting where scale and complexity meet — form-two filings, borderline-modification matters and transactions where the work centres on data-heavy advocacy to avoid remedies rather than reacting to a clearance problem already in motion. Beyond merger control, Chand maintains a full-spectrum competition practice spanning cartel matters, leniency work, complainant-side mandates and compliance programmes for global platforms, with a developing strand of advisory at the competition-privacy intersection. The firm is investing in technology infrastructure across the practice, including internal AI tools and external platforms.</t>
  </si>
  <si>
    <t>Photos/Pranav Sharma - CAM.jpg</t>
  </si>
  <si>
    <t>Placed fourth in the 2026 RISE Debt Capital Market rating, Pranav Sharma's practice stands out for RISE instruction and experience metrics. Across all the RISE metrics, Sharma scores particularly well for a strong client base, social media profile, and interesting approach to pricing. His practice is focused on debt capital markets, covering onshore INR bonds, securitisations, derivatives, and offshore euro bonds, with clients including Kotak, IFC, Blackstone and other leading institutional investors and lenders. His pricing approach involves an internal cost estimation tool applied once key deal parameters are known, part of a broader effort to standardise DCM work by borrowing process discipline from equity teams. Sharma describes his practice as having two defining characteristics: a directness in client communication, including a willingness to deliver difficult messages and a client-first philosophy.</t>
  </si>
  <si>
    <t>Photos/Samir Gandhi.png</t>
  </si>
  <si>
    <t>Placed in the top 5 RISE Competition rating, Samir Gandhi's highest scores are in his instruction and experience scores. Although Gandhi performs remarkably well across all the RISE reputation metrics, including for peer mentions and directories, his Instruction metrics reflect a busy practice of complex work for top-tier, sophisticated and typically global clients. From his performance within the experience score, clients appear to trust and enjoy working with Gandhi and award him top or near-top marks across the board. 
His practice spans merger control, enforcement and competition litigation, with a distinctively commercial style of advice that centres on outcomes: knowing when to negotiate, when to litigate and how to preserve credibility before the CCI. Particularly strong on matters sitting at the intersection of competition law, including merger remedies in insolvency contexts and the overlap between antitrust, privacy, data and IP. That breadth of analytical framing, rather than narrow doctrinal specialism, appears to be a consistent feature of the more complex instructions he describes.
Gandhi also appears comparatively advanced among Indian competition practitioners in deploying technology within the practice, using AI-assisted workflows and internal knowledge systems to handle large volumes of client data and filing trends, while keeping partner judgement central to the advice.</t>
  </si>
  <si>
    <t>Photos/Pracheta-Bhattacharya-profile-picture.jpg</t>
  </si>
  <si>
    <t>Pracheta Bhattacharya's instruction scores are his strongest RISE metric at JSA, with client base and deal value among the strongest sub-indicators, built on relationships with IIFL, Axis, Kotak, and other domestic and international merchant banks. 
Bhattacharya's practice spans equity capital markets with InvITs and REITs as a core specialism, an unusual combination that few practitioners in this cohort have developed to the same depth. 
What distinguishes his current client profile is a deliberate concentration on government-linked infrastructure mandates, including the Ministry of Coal and Ministry of Roads, at a moment when disinvestment targets are becoming more aggressive. The NHAI fundraise at approximately US$560mn illustrates that positioning.</t>
  </si>
  <si>
    <t>Photos/Pranjal Prateek_0.png</t>
  </si>
  <si>
    <t>Pranjal Prateek at Khaitan &amp; Co scores most notably on RISE instruction and sophistication metrics, with Clients and Complexity the standout sub-indicators. His mandates reflect increasing complexity driven by prolonged regulator engagement, evolving enforcement scenarios, and the need to coordinate strategy across multiple stakeholders. AI usage is notable within his RISE sophistication scores. He uses the firm's KAI platform to analyse regulator decisions, identify trends, and support internal knowledge sharing, with automation applied to routine workflows such as document templates and chronologies, and a human-in-the-loop approach maintained for judgement-led work. His practice is concentrated in pharma, technology, consumer, and infrastructure, where competition scrutiny is closely linked to transactional and enforcement activity. He grounds opinions in first principles and takes a measured, non-sales-led approach to client work.</t>
  </si>
  <si>
    <t>Photos/prashant-Gupta.png</t>
  </si>
  <si>
    <t>Prashant Gupta  is the number one ranked equity capital markets RISE lawyer in this year's cohort. He received more peer recommendations than any other practitioner. The majority (80%) of his book of work is on deals above US$250mn, and he acts as issuer counsel on large marquee technology and internet transactions, as well as for global multinationals. 
The complexity on these technology and internet mandates tends to come from regulator scepticism toward loss-making companies, fragmented cap tables, and shareholders who all want different things. 
His issuer counsel role on one of India's largest IPOs for  Hyundai at approximately US$3 billion illustrates the level at which he operates.</t>
  </si>
  <si>
    <t>National Practice Head of Capital Markets</t>
  </si>
  <si>
    <t>Photos/Priyadarshini-Rao.png</t>
  </si>
  <si>
    <t>Priyadarshini Rao's client score is among the highest in this cohort at Cyril Amarchand Mangaldas. Her base includes ICICI Prudential AMC, ICICI Bank, Blackstone, JPMorgan, Kotak, Nomura, and UBS across equity capital markets and a recently expanded InvIT practice. 
Instruction scores are Rao's strongest RISE metric, although she also scores well in the sophistication indicators. Her approach to pricing approach stands out. Pricing benchmarks are set at the partnership level but adjusted for client importance and strategic value.
One of the younger practitioners in this cohort, Rao's willingness to move into new sectors before they become crowded is what her client and deal flow numbers appear to suggest.</t>
  </si>
  <si>
    <t>Photos/Priyanka-Kumar-2.jpg</t>
  </si>
  <si>
    <t>Priyanka Kumar at TT&amp;A has high RISE Instruction and Reputation scores, reflecting a strong client base, volume, and complexity of work. Her client base is anchored by major global banks including JPMorgan, Citi, Barclays, Deutsche Bank, HSBC, and Standard Chartered, alongside significant Indian financial institutions. Her practice sits at the intersection of regulatory advisory and transactional execution, with close involement throughout, an approach she says reduces the friction that delays cross-border deals. Her instruction record reflects a broader market trend of Indian companies accessing international bond markets across new sectors, with the complexity in her work driven by first-of-their-kind structures that align domestic legal requirements with international capital market standards.</t>
  </si>
  <si>
    <t>Photos/Priyanka-Shetty-copy-1-e1633778843896.jpg</t>
  </si>
  <si>
    <t>Priyanka Shetty's RISE instruction scores are her strongest metric, reflecting a practice where arbitration routinely generates parallel NCLT proceedings, criminal complaints, and urgent protective applications that most practices are not structured to handle simultaneously. AI usage and her approach to Talent Development are notable within her RISE sophistication metrics. She deploys Harvey systematically, runs a PQE-tiered judgment review programme, and has published on AI in arbitration. A standout matter involved enforcement of a SIAC emergency award resulting in asset freezes, passport suspension, and a custodial sentence, sitting at the outer edge of Indian enforcement proceedings. She is currently advising Pratt &amp; Whitney in a $7.3bn SIAC arbitration testing whether an Indian insolvency moratorium can halt a foreign-seated proceeding.</t>
  </si>
  <si>
    <t>Probir ROy Chowdhaury.jpg</t>
  </si>
  <si>
    <t>Probir Roy Chowdhury ranks seventh in the 2026 RISE Cyber rating where his instruction score is his strongest RISE metric. Cyber incident breach response accounts for the majority of his work alongside strategic implementation advice. One differentiator, according to Chowdhury, is the partner-level attention he gives to cyber incidents, from advising clients through a crisis to personally handling reporting and regulator follow-up. He acts for a predominantly global client base across financial services, insurance, airlines, manufacturing, and consumer-facing sectors. Chowdhury also received a good score for the sophistication of practice RISE metrics. He and his team use AI for templates and gap analysis, helping them to work quickly to reporting deadlines.</t>
  </si>
  <si>
    <t>Photos/Rahul Goel.jpg</t>
  </si>
  <si>
    <t>Rahul Goel’s profile is defined by an exceptional instructions score, specifically achieving a perfect metric for the complexity of his mandates. His practice is built around high-stakes enforcement and appellate competition disputes rather than filing volume, representing leading clients across the packaging, pharma, media, and publishing sectors. 
The practice runs approximately 80% enforcement, with Goel often acting for complainant-side app developers in platform investigations against Google and Apple. While there is a notable disconnect with his reputation scores, likely reflecting the boutique nature of his firm, he differentiates himself through a specialist litigation model, arguing his own matters and maintaining total file mastery</t>
  </si>
  <si>
    <t>Photos/Rahul-Gulati- DCM.jpg</t>
  </si>
  <si>
    <t>Rahul Gulati at TT&amp;A's scores most strongly on the RISE instructions metric, performing exceptionally well for his client base, volume and value of work. Gulati's scores reflect a DCM practice that operates consistently at the complex end of the market. His instruction record includes India's first dollar bond asset-backed securitisation for Sriram Finance, the first international bond issuance by an Indian road company, and Biocon's debut pharmaceutical bond transactions, each requiring new structuring techniques that aligned Indian legal frameworks with international capital markets standards. His approach combines regulatory advisory with transactional execution, with both partners closely involved throughout and regulatory issues identified early, a method he says keeps cross-border deals moving where coordination across multiple stakeholders would otherwise create delays.</t>
  </si>
  <si>
    <t>Photos/Rajat Agarwal.jpg</t>
  </si>
  <si>
    <t>Rajat Agarwal at Vertices Partners focuses on high-value trade disputes arising from rapid regulatory change and sanctions list movements, where stranded cargo can carry nine-figure exposure.
He has expanded the firm's practice into Dubai and Colombo to service rerouted trade flows across the Indian Ocean corridor, building those positions through direct relationship development with regulators in each market.
Technology and talent development are both strong sub-indicators: he is a prolific user of AI across research, drafting, and analysis, and his internal training programmes teach the technical aspects of trade law alongside the wider geopolitical context, on the basis that practitioners who understand only the law are poorly equipped for the environment his clients are operating in.</t>
  </si>
  <si>
    <t>Vertices Partners</t>
  </si>
  <si>
    <t>Photos/Rajendra-Barot_5789029_1.jpg</t>
  </si>
  <si>
    <t>Rajendra Barot at AZB &amp; Partners holds the highest RISE Instruction score in this rating and receives consistent peer citation across the market. His practice combines a decade of prior corporate M&amp;A experience with disputes work, giving him command of transactional documents and commercial rationale that is relatively unusual in the arbitration bar. He acts for major private equity firms including Westbridge Ventures and BanyanTree Growth Capital. Recent instructions include matters exceeding $1bn in value, with enforcement regularly contested through the Indian courts. That combination of reputational standing, instruction volume, and cross-border complexity places him at the top of this cycle.</t>
  </si>
  <si>
    <t>Photos/Ram-Kumar-Poornachandran.png</t>
  </si>
  <si>
    <t>Ram Kumar Poornachandran at AZB &amp; Partners has his strongest RISE metrics in instructions, with complexity and client base the standout indicators. His mandates are highly scrutinised, market-shaping matters in concentrated sectors, evolving regulatory frameworks, and significant public or policy sensitivity. His client roster is dominated by global tech platforms, with almost all mandates taken on the respondent and defendant side. Talent development is a standout within his RISE sophistication metrics. He builds legal and commercial capability in parallel, running regular knowledge-sharing sessions and giving associates early exposure to client management and business development. His broader approach is client-first and commercially focused, balancing legal risk with business objectives and drawing on a strong understanding of clients' products and the wider policy context in which they operate.</t>
  </si>
  <si>
    <t>Ranjana Adhikari.jpg</t>
  </si>
  <si>
    <t>Ranjana Adhikari ranks tenth in the 2026 RISE Cyber rating receiving one of the highest experience scores in the list. Client reviews highlight her strength in leadership, expertise, commerciality and communication skills. Her practice combines cyber and AI legal advice, often working on cross-border mandates and acting as a single point of contact for multi-jurisdictional data projects. She frequently engages with government and regulators on shaping new legal and regulatory frameworks. An excellent RISE sophistication score is based on a data-driven approach to predictive pricing and her emphasis on the development of junior members of the team. Her own practice has a strong focus on research and thought leadership to keep up-to-date with fast moving technology and regulation, and she encourages her team to take a similar approach, giving them opportunities to gain exposure to the latest ideas.</t>
  </si>
  <si>
    <t>Photos/Karan Chandhiok.jpg</t>
  </si>
  <si>
    <t>Ranking 5th overall in the RISE competition rating, Karan Chandhiok is a standout leader in the market and current head of the Competition Bar of India. He achieves a perfect score for complexity within his instructions metric—a result of a practice built on high-stakes enforcement and first-of-its-kind advocacy. His reputation is equally dominant, marked by widespread peer respect and a top-tier profile across legal directories.
Chandhiok’s roster includes global giants such as Google, Intel, Samsung, Indorama Ventures, and Nissan. He serves as group competition counsel for JSW, managing their expansive filings across infrastructure, energy, and steel. For Google, his firm notably achieved a nearly ₹80 billion penalty reduction in the Play Store case and was entrusted with the post-decision compliance process for Android. By prioritizing leniency mandates and multi-jurisdictional enforcement over routine merger volume, he has carved out a position as the specialist for India's most demanding competition hurdles.</t>
  </si>
  <si>
    <t>Photos/Ravi-Dubey.png</t>
  </si>
  <si>
    <t>Ravi Dubey's practice is product-driven rather than client-driven, built across IPOs, QIPs, rights issues, and block trades for a both investment banks and issuers. Instruction scores are his strongest RISE metric, with sub-indicators showing high deal value and notable volume for a practitioner who is deliberate about mandate selection. His client base spans large Indian corporates, family-owned promoter groups, and PE-backed companies preparing to list, often with intricate promoter structures and cross-border elements. His sweet spot is anticipating regulations. He reads the intent behind rules rather than their surface application, helping clients get ahead of problems.</t>
  </si>
  <si>
    <t>Photos/Ravisekhar Nair.jpg</t>
  </si>
  <si>
    <t>Ravisekhar Nair at Economic Laws Practice scores most strongly on RISE Instructions, particularly driven by the quality of his clients and the complexity of his mandates. His work spans AI studies, the digital competition bill, privacy compliance and sectoral regulation in telecom and aviation alongside merger control and enforcement, pointing to a practitioner focused on where regulation is heading rather than traditional enforcement cycles. A transaction in the glass fibre segment illustrates this approach, securing unconditional clearance in a 2-to-1 combination by persuading the Commission on import dependence and market dynamics rather than relying on conventional concentration analysis. His Sophistication metrics are also notable, reflected in his focus on training and development, with an emphasis on economics, technology and geopolitics alongside core legal skills.</t>
  </si>
  <si>
    <t>IND08619</t>
  </si>
  <si>
    <t>Photos/Reena Khair.jpg</t>
  </si>
  <si>
    <t>Reena Khair scores strongly on the reputation RISE metrics, with a significant presence across directories, news media, and social media. Her instruction record includes a rare nil duty and price undertaking outcome for a major Russian petrochemical exporter in Indian anti-dumping proceedings, and subsidy investigations involving Chinese exporters where she secured participation from multiple parties and challenged the countervailability of technology-linked schemes, two outcomes that illustrate the depth of her trade remedy advocacy.
She combines that work with ongoing High Court and tribunal litigation, representing both exporters and domestic industries across the same matters. An increasingly significant part of her practice is drafting trade contracts designed to address tariff shocks, sanctions, and supply chain disruptions, work that has grown directly out of the current geopolitical environment.</t>
  </si>
  <si>
    <t>Rishi-Anand.jpg</t>
  </si>
  <si>
    <t>Rishi Anand has a broad corporate practice which also includes crisis management, digital crimes and a technology and TMT industry focus. He advises clients on new digital products, tech-focused M&amp;A, and policy and regulatory work. He was involved in drafting India’s incoming DPDP Act and building the legal framework for India's dominant digital payments infrastructure. Anand is included in the list for his high score on the RISE instructions metric, with a strong client base and complex mandates. He has built deep expertise in a number of emerging areas, including digital payments, fintech and ecommerce. He receives a good RISE sophistication of practice score, covering his use of AI and promotion of alternatives to the hourly rate, including output-based fee arrangements.</t>
  </si>
  <si>
    <t>Photos/Rohan-Arora.png</t>
  </si>
  <si>
    <t>Rohan Arora’s highest performance is found in both his RISE instructions and experience scores, reflecting his consistent involvement in high-scale mandates within a team of approximately 50 competition lawyers. His instructions are anchored by a top-tier client roster that includes global technology and investment heavyweights such as Microsoft, Meta, Uber, Bain Capital, Alpha Wave Ventures, and Apollo Healthcare. Clients provide Arora with exceptionally strong scores across all RISE experience metrics, valuing his execution-focused approach and sustained exposure to large-scale, complex matters.
Within the sophistication category, Arora differentiates himself through a significant investment in talent development. He is actively involved in training the firm’s junior lawyers, focusing on sharpening soft skills and integrating AI tools into daily practice to enhance efficiency. His high scores for client quality and team leadership point to a practitioner with deep operational credibility. His practice remains balanced across merger control and enforcement, where he is recognized for his ability to navigate the capacity and breadth required for India’s most resource-intensive competition mandates.</t>
  </si>
  <si>
    <t>Photos/Rudresh-Singh.png</t>
  </si>
  <si>
    <t>Rudresh Singh places among the top 20 RISE Competition practitioners in 2026. Singh sits among the 'Quiet Achievers', lawyers whose Instructions scores outperform their reputation. Most notably, Singh receives one of the highest scores within the client metric and a solid volume metric, contributing to a strong overall Instructions score. His client base is concentrated in repeat-mandate financial sponsors and high-profile tech platforms, and Singh notes that certain sovereign wealth funds and private equity clients each generate between four and eight competition matters annually. Singh notes that around 70%  of merger control notifications are cross-border, with one current matter coordinating filings across 15 jurisdictions spanning the US, Europe, Japan and Brazil. Singh, a younger practitioner than the average lawyer in this list, is closely involved in talent development.</t>
  </si>
  <si>
    <t>Sajai-Singh-Profile-Picture.jpg</t>
  </si>
  <si>
    <t>Sajai Singh's strong RISE reputation score places him in the top ten overall, with the leading RISE rating for directory profile and social media presence. His instruction score reflects a busy practice across advisory and incident response matters. Singh handles roughly 30 to 40 matters in each category annually, with a focus on advising international clients on Indian reporting requirements relating to global breach events. He has built decades of experience in cyber and data protection, advising clients on these matters before any Indian laws existed. His experience in the technology space extends back further, and Singh contributed directly to drafting India's IT Act implemented in 2000 and to subsequent rules.</t>
  </si>
  <si>
    <t>Photos/Sandip-Bhagat-GS-scaled.jpg</t>
  </si>
  <si>
    <t>Sandip Bhagat is eponymous with India's capital markets scene. One of the most experienced practitioners in Indian capital markets, his name above the door and a three-decade career spanning US securities law, Indian transaction structuring, and active involvement in SEBI's Primary Markets Committee. 
His instruction scores are his strongest RISE metric and he scores highest for client base and deal value, built on long-standing relationships with major domestic and international investment banks including ICICI, Axis, Citi, Goldman Sachs, and Morgan Stanley. 
Notable recent work includes advising Prudential as sole selling shareholder in the ICICI Prudential AMC IPO, a transaction with meaningful cross-border complexity given Prudential's UK and Hong Kong listings.</t>
  </si>
  <si>
    <t>Photos/Sanjay-Notani.jpg</t>
  </si>
  <si>
    <t>Sanjay Notani at Economic Laws Practice is the highest-rated RISE lawyer in international trade and achieves the strongest combined reputation in this cohort when peer recommendations, directory recognition, and media presence are taken together.
His instructions scores sit alongside reputation as his highest RISE metrics at the head of one of India's largest and most comprehensive trade practices. His advisory work spans some of the most consequential mandates in the market: he has advised foreign governments in the recently concluded FTAs, including representing India in their WTO dispute. His client profile also spans strategic sectors navigating US and EU sanctions, export controls, and national security supply chains in semiconductors and rare earths, through to tariff policy, sustainability regulations, and data centre advisory to government, placing him at the intersection of trade law, geopolitics, and emerging regulatory frontiers.</t>
  </si>
  <si>
    <t>Sanjeev Kapoor.png</t>
  </si>
  <si>
    <t>Sanjeev Kapoor at Khaitan &amp; Co ranks first in this wave of RISE Arbitration, with a practice that is both high in volume and unusually wide in sectoral range. Matters include a $6bn bilateral investment treaty claim against India, software development disputes, large-scale energy and steel sector matters, and construction liability cases, with around 60% of his work cross-border. His RISE Reputation score is among the strongest in this cohort, built on consistent directory recognition and frequent citation by peers across both domestic and cross-border proceedings, including by practitioners at international firms he regularly faces. He handles advocacy and cross-examination in-house rather than briefing senior counsel, and has structured his team around sector-specific partner specialisation so that technical depth in technology, energy, and infrastructure is backed by dedicated expertise. He was among the first in his firm to run a full-day AI training programme across the partnership, and currently uses AI for chronologies, document contrast, and initial research.</t>
  </si>
  <si>
    <t>IND08620</t>
  </si>
  <si>
    <t>Photos/Seetharaman Sampath.png</t>
  </si>
  <si>
    <t>Seetharaman Sampath at Sarvada Legal scores strongly on the instructions and reputation RISE metrics, with a significant presence in directories and news media, and a mandate profile which includes complex third-country representations entirely unrelated to India.
He represents exporters in anti-dumping investigations before US and Indonesian authorities without instructing local counsel, applying WTO trade remedy principles directly across jurisdictions, an approach that requires both technical depth and confidence in unfamiliar regulatory environments.
Sampath handles 10 to 12 significant trade remedy investigations annually and has developed a continuous dumping-margin monitoring model for major clients that shifts the practice from reactive defence to predictive risk management, a material change in how those clients approach trade exposure.</t>
  </si>
  <si>
    <t>Photos/Shaneen-Parikh-updated.png</t>
  </si>
  <si>
    <t>Shaneen Parikh's RISE Instruction metrics are her strongest, driven by a concentrated focus on international arbitration at one of India's largest firms. Her client base sits at the upper end of the market, weighted toward pre and post-M&amp;A disputes, JV breakdowns, and shareholder issues for PE investors. Dual-qualified in India and England and Wales, registered as a foreign lawyer with the SICC, and having served two terms on the SIAC Court, few India-based practitioners can match that institutional standing. She is also a member of the Governing Board of ICAA, and a Vice-Chair of the ICC Commission on Arbitration and ADR. Parikh's RISE Reputation metrics are among the strongest in the cohort, with consistent peer recommendations, directory presence, and a strong news and social media profile.</t>
  </si>
  <si>
    <t>Photos/shankh-sengupta-1.png</t>
  </si>
  <si>
    <t>Shankh Sengupta's RISE instruction scores are his strongest metric, built on a practice spanning shareholder and exit disputes, infrastructure and construction arbitrations, insolvency, and white collar defence. Clients include Macquaire, Glennmark, 3i Group, PSP, National High Speed Rail, Doosan Power Systems, and Nayara Energy. AI usage is notable within his RISE sophistication metrics. He uses Lucio and Relativity for document management, particularly in construction arbitrations handling thousands of documents, alongside a firm knowledge management database tracking how arguments have fared in past proceedings. He runs regular check-ins with clients at interlocutory stages to identify settlement windows rather than running matters to final award.</t>
  </si>
  <si>
    <t>Shreya Suri.jpg</t>
  </si>
  <si>
    <t>Shreya Suri's instructions score is her strongest RISE metric. It reflects a busy DPDP readiness practice advising clients across  a range of industries. Much of her work is focused forward-looking compliance programmes rather than reactive incident response. The complexity in her mandates comes less from ticket size than from advising in genuine legal lacunae, helping listed and regulated clients take positions that need to hold up once enforcement begins. She  participated in government consultations that shaped the DPDP Act and has experience with other data protection legislation, including Europe's GDPR . A good RISE sophistication of practice score draws on use of data, including the CMS internal enforcement tracker covering real-time EU and UK regulatory developments, and a flexible approach to pricing.</t>
  </si>
  <si>
    <t>Photos/shubhangi-garg.png</t>
  </si>
  <si>
    <t>Shubhangi Garg's was scored most highly across RISE metrics Instruction and Sophistication, demonstrating advanced AI usage and attention to talent development. Her team uses AI in a targeted rather than wholesale way, applying it to refine contractual provisions, translate complex clauses for clients, and run quick diligence checks, with the main benefit being time compression. Her practice is split across REITs and InvITs, corporate and performing credit, acquisition finance, and international dollar bond mandates in financial services and renewables. Two characteristics she is deliberate about are: a solution-driven negotiation style, and a team culture where stress comes from client work rather than internal dynamics.</t>
  </si>
  <si>
    <t>Photos/Shweta-Shroff.png</t>
  </si>
  <si>
    <t>Shweta Shroff Chopra’s highest RISE metric is sophistication, where she scores exceptionally well across all indicators. She is a prominent advocate for AI usage, specifically leveraging platforms like Harvey to build knowledge vaults that synthesize legal positions and train younger lawyers. Her approach to talent development is equally distinctive; she believes that true expertise is solidified through the act of writing and explaining, and she actively mentors her team in creating market-leading thought leadership.
Her Instructions score is also robust, reflecting an almost full-scoring list of high-caliber clients. She manages a high volume of work for major entities including Reliance Industries, Nestle, Flipkart, Pepsico, and the JK Group. Approximately 90% of the firm’s India competition referrals from international heavyweights like Latham, Freshfields, Skadden, and Kirkland flow through her practice. Formerly a UK finance lawyer, Chopra now splits her practice evenly between merger control and enforcement, increasingly focusing on overall strategy and client stewardship.</t>
  </si>
  <si>
    <t>Photos/Simran-Dhir-GS.jpg</t>
  </si>
  <si>
    <t>Simran Dhir at S&amp;R Associates scores most strongly on RISE Instruction metrics, with a practice defined by judgement-based merger control work in technically demanding sectors rather than filing volume. Clear examples sit in telecom and transport infrastructure, including InvIT structures and road-sector transactions, where the work turns on market definition, notifiability calibration, and persuading the CCI on practical competition effect rather than mechanical rule application. She has argued successfully that technically notifiable transactions do not merit a filing in substantive competition terms, a skill that requires both regulatory familiarity and commercial credibility. Talent development is notable within her RISE sophistication scores. She focuses early on attention to detail and high-quality writing, with continuous feedback on junior work, shifting at more senior levels to direct client interaction and greater matter ownership. A background in M&amp;A before moving into competition gives her practice a commercially grounded character.</t>
  </si>
  <si>
    <t>Photos/rahul rai.png</t>
  </si>
  <si>
    <t>Sitting at 9th position in the RISE Competition list, Rahul Rai's RISE rating reflects a strong reputation amongst peers and a busy, relationship-led practice generating consistent repeat instructions rather than one built around institutional scale or marquee visibility. The combination is notable for a boutique practitioner, where high throughput and strong word-of-mouth validation are less commonly found together. Experience metrics maxxed out for service and expertise, coupled with strong instruction metrics, demonstrate a sophisticated and international client base that trust and enjoy working with Rai. The practice is enforcement-focused and contentious in character, with a pipeline of active investigation and regulator-facing mandates that sits alongside merger control work. Operating within a specialist platform rather than a full-service firm, the practice competes through focus and intensity, with the high volume profile suggesting successful positioning in conflicts-driven instructions where boutiques can move quickly.</t>
  </si>
  <si>
    <t>Photos/Aditya Bhargava.png</t>
  </si>
  <si>
    <t>Sitting in 9th position for the 2026 RISE Debt Capital Markets ranking, Aditya Bhargava's practice scores most highly for its Sophistication, with standout RISE metrics in talent development and AI usage. According to Bhargava, his practice generates 200,000 to 300,000 documents a year, and his team is building an in-house document management system with natural language search across historical knowledge to identify precedents and generate draft language. His team model is deliberately low-leverage and long-tenured, with counsels and senior associates remaining for multiple years, supported by mentoring and a culture of open debate. Moreover, clients enjoy working with him as shown by his high scores in RISE Experience, notably for commericality, network and strategy skills.</t>
  </si>
  <si>
    <t>Akash Karmakar.jpg</t>
  </si>
  <si>
    <t>Sitting just outside the top 10, Akash Karmakar ranks highly in this list with the top score for the RISE instructions metric. Unlike the broad transactional and advisory practices of most lawyers in this list, he specialises on supporting clients through cybersecurity incidents and crises, alongside a wider practice encompassing strategic transactions, regulatory advisory, and specialised privacy work. Post-incident support includes immediate remediation, regulatory reporting, root cause analysis, ransomware negotiations and breach reporting. Karmarkar handles a high volume of incidents and is often engaged to advise on the most severe cyberattacks and data breaches.  He is one of the few cyber lawyers in India to conduct ransomware negotiations directly, allowing the client to preserve attorney-client privilege while also ensuring sanctions and anti-bribery compliance. He scores well on the experience metric as clients were ready to provide strong reviews.</t>
  </si>
  <si>
    <t>Panag, Babu &amp; Sarangi</t>
  </si>
  <si>
    <t>Photos/Pratichi-Mishra-GS.jpeg</t>
  </si>
  <si>
    <t>Sitting on SEBI standing committees for business trust regulation is unusual for a partner at Pratichi Mishra's career stage, and that proactive and direct regulatory engagement is what her sophistication scores and the quality of her infrastructure advisory work appear to reflect. 
Instructions are Mishra's strongest RISE metric. High scores for client base and deal value are built on some of India's largest infrastructure transactions including a road-sector investment of approximately $1.1bn and multiple fundraises exceeding $500mn. Her practice spans the full lifecycle of infrastructure and real estate platforms rather than a single stage of capital markets work, which is itself a differentiator.
Mishra also scores highly in terms of the way she runs her practice. With her associates, she involves them in conferences and policy related work, including regulatory research and drafting. They are required to write monitor and analyse regulatory updates within 24 to 48 hours of changes, a training philosophy that mirrors her own relationship with the regulatory process.</t>
  </si>
  <si>
    <t>Photos/smarika-Singh.png</t>
  </si>
  <si>
    <t>Smarika Singh's RISE instruction metrics reflect a practice concentrated in legally complex mandates, with JV disputes and infrastructure arbitrations forming a consistent and technically demanding base for both domestic and international clients. She maintains personal command of every file, leading proceedings independently. Her Talent Development sub-indicator is also strong, with associates given live appearances before retired Supreme Court judges at the lower-stakes end. A standout matter is a JV dispute that has expanded into three simultaneous arbitrations under three separate agreements, with the same parties and interlinked breaches requiring a dedicated team to coordinate across all proceedings at once.</t>
  </si>
  <si>
    <t>Photos/Sneha Jaisingh.jpg</t>
  </si>
  <si>
    <t>Sneha Jaisingh's RISE instruction metrics are among the highest by volume in this cohort, built on a consistently busy docket across commercial, infrastructure, and government-facing mandates. Ticket sizes sit at the mid-market level, but instruction frequency places her above most peers on volume. Clients include Adani Enterprises, Hindustan Petroleum Corporation, Larsen &amp; Toubro, Vedanta, and Vodafone Idea. Her Talent Development sub-indicator is strong. Juniors run weekly round-ups presenting the latest decisions to the full team and are given low-value court appearances to build advocacy confidence before moving to more complex mandates. She argues her own mandates rather than briefing external counsel. A standout matter is the Prysmian LCIA arbitration, where the Supreme Court delivered one of India's first detailed judgments on the scope of judicial interference with foreign arbitral awards.</t>
  </si>
  <si>
    <t>Photos/Sonam Mathur.jpg</t>
  </si>
  <si>
    <t>Sonam Mathur builds her profile in this rise competition ranking on the quality and complexity of mandates rather than their volume, with instructions serving as her strongest metric. She represents a high-caliber roster of clients, including Apollo Tyres, Peak XV Partners, WestBridge, HSBC, and Generali. Notably, she is lead counsel for Match Group as the informant in a major enforcement case against Apple. This matter involves sophisticated challenges to the CCI’s penalty powers and multiple rounds of litigation escalated to the Delhi High Court, making it one of the most closely watched antitrust proceedings in India.
Her experience scores reflect high client satisfaction, particularly regarding the tailored services she provides. While her reputation scores are not as high as her instruction metrics, she maintains a strong presence across legal directories and the legal press, where she is frequently quoted.</t>
  </si>
  <si>
    <t>IND08610</t>
  </si>
  <si>
    <t>Photos/Sooraj Sharma.png</t>
  </si>
  <si>
    <t>Sooraj Sharma is a disputes lawyer based in Delhi and founding partner of Clavius Legal. His practice leans towards international arbitration, with a proportion dedicated to domestic arbitration and strategic advisory work. His highest RISE metric is instructions. He accumulated a notable number of international instructions over the research period, reflecting the firm's deliberate positioning at the cross-border end of the market. He acts for Indian and foreign corporates, sovereign clients, and high-net-worth individuals in complex cross-border disputes and investigations. Reputation scores are more limited, reflecting the boutique's lower market visibility relative to full-service firms. Sharma has onboarded multiple AI tools and is actively evaluating legal-specific platforms.</t>
  </si>
  <si>
    <t>Photos/Satadru-Goswami.png</t>
  </si>
  <si>
    <t>Sophistication is Satadru Goswami's strongest RISE score, with talent development as the standout metric. He leads a twelve-lawyer team with a deliberately flat structure, rejecting the traditional pyramid model in favour of close partner involvement on every transaction and early responsibility for associates. His practice is structuring‑led, advising on offshore and domestic bond issuances for major infrastructure and real asset platforms including ASK Group, Edelweiss Alternative Asset Advisors (EAAA), Adani group entities, and Government of Maharashtra instrumentalities, as well as private credit and structured debt products across infrastructure and non‑infrastructure sectors, including investments through AIF and InvIT platforms. Goswami maintains detailed precedent databases, integrates lessons from banking and project finance into capital markets mandates, and his mandates span a range of fee arrangements depending on the nature and structure of the transaction.</t>
  </si>
  <si>
    <t>IND08615</t>
  </si>
  <si>
    <t>Sreenidhi Srinivasan.jpg</t>
  </si>
  <si>
    <t>Sreenidhi Srinivasan heads the data protection practice at Ikigai Law, with a background spanning think tank policy work that informed India's enacted data protection framework and postgraduate study in the US focused on cross-border data transfers. Her RISE instruction score reflects a practice now weighted 80% toward client product advice and 20% policy work, advising both global and Indian companies on data governance and compliance ahead of DPDP implementation. Her high score on the RISE sophistication of practice metric reflects her technologically advanced practice. AI is used for simulations and training for a data breaches, contract negotiations or in fine tuning cases.</t>
  </si>
  <si>
    <t>Photos/Subhalakshmi Naskar.jpg</t>
  </si>
  <si>
    <t>Subhalakshmi Naskar at Cyril Amarchand Mangaldas is rated across three RISE lists: Infrastructure, Private Capital, and Debt Capital Markets. Across these categories, Naskar's higesht RISE metrics are in Sophistication, particularly for her investment into talent development. Within Reputation, Naskar's scores refleect a strong media profile across news and social media suggesting active market status across each practice area. Her work runs roughly 70 to 75 per cent infrastructure and 30 per cent private and structured credit, with major recent work for Adani across fundraising, joint ventures, acquisition finance, data centres, and smart meters. The infrastructure mandate has evolved from thermal power and roads into renewables, transmission, and digital infrastructure, with complexity driven by cross-border structuring under India's capital controls and first-of-their-kind financings including a revolving loan structure for smart meters. She works closely with principal associates on client discussions and commercial conversations, maintaining a fluid team structure across multiple partners to give juniors varied experience.</t>
  </si>
  <si>
    <t>Supratim Chakraborty.png</t>
  </si>
  <si>
    <t>Supratim Chakraborty ranks third in the 2026 RISE Cyber rating, and sits near the top of the list across all RISE indicators. He co-leads the data and TMT practice at Khaitan where he helped set up a specialist team in 2011 to handle cyber breach responses. He has built deep expertise advising clients throughout the process of a cyber breach, drawing on his proximity and understanding of the regulator and data policy. Chakraborty helped to shape the incoming DPDP Act, advising on points related to data processor liability. His leads a team with international certifications which has  suffered no attrition - a fact Chakraborty says clients notice and value. His high score on the RISE instructions metric is built on high-complexity, high-stakes mandates across financial services, insurance, healthcare, pharma, and manufacturing.  He receives a strong score on the RISE client experience metric and is praised in particular for his deep subject matter knowledge.</t>
  </si>
  <si>
    <t>Photos/Suvigya Awasthy.png</t>
  </si>
  <si>
    <t>Suvigya Awasthy's RISE instruction metrics reflect a busy mid-ticket practice at a boutique, with volume and complexity ratings that hold up against larger-firm peers. His client base is anchored by government-linked infrastructure bodies including the Dedicated Freight Corridor and the National High Speed Railway Corporation, with work spanning construction, energy, infrastructure, gaming, and paper mills. A standout matter is the successful challenge of an ICC award before the SICC on grounds of plagiarism, a globally cited decision that sits above the complexity level his ticket size would typically suggest. He conducts his own advocacy before tribunals and the Supreme Court rather than briefing external counsel, keeping costs contained in a way that mid-market clients value.</t>
  </si>
  <si>
    <t>Photos/Hemangini-dadwal-3.jpg</t>
  </si>
  <si>
    <t>The Google Android TV settlement sits at the centre of Hemangini Dadwal's recent experience at AZB: understood to be the first order under India's new commitments and settlements regime, and the first product investigation globally, it is a matter that places her close to where Indian competition law is actively being designed rather than merely applied. Ranking 14th in the overall RISE competition standings, Dadwal’s profile is anchored by high scores in both instructions and experience. These metrics reflect an exceptional client roster and a high volume of work for global leaders including Google, LEGO, Syngenta, Shell, GSK, Bharti Airtel, Nestle, and Expedia.
Beyond case execution, Dadwal engages actively with how the Commission is approaching privacy, AI, and effects-based abuse analysis, giving her profile a policy-facing dimension alongside transactional work. Her reputation is equally strong, supported by a significant number of peer mentions and a consistent profile across major legal directories.</t>
  </si>
  <si>
    <t>Photos/Juhi-Singh-GS-1.jpg</t>
  </si>
  <si>
    <t>The ICICI Prudential AMC IPO, where Juhi Singh represented Prudential as sole selling shareholder in a 100% offer for sale alongside a substantial pre-IPO involving over 28 investors, is the kind of transaction her experience and instruction scores are built on. She also has a high score for the quality of her client base. 
Singh's approach to training her junior lawyers is the sophistication standout: an open-door policy, informal check-ins, and detailed DRHP walkthrough sessions focuses lawyers on understanding substance rather than mechanical drafting. She practitioners who are able to reason through a problem rather than just locating a precedent. 
Her practice is sector-agnostic, but with a recent concentration across tech, manufacturing, healthcare, pharma, insurance, and BFSI.</t>
  </si>
  <si>
    <t>Photos/tine-abraham-1.png</t>
  </si>
  <si>
    <t>Tine Abraham specialises in infrastructure and concession arbitrations at Trilegal, with a practice spanning dams, roads, airports, renewable energy projects, shareholder disputes and statutory arbitrations arising from market intermediary obligations. Her RISE instruction score is her strongest metric, built on a high-quality client base including India RF, Quest Global group and WeWork India. Her sophistication score reflects a systematic approach to technology. Trilegal's custom-built AI platform is used across her practice for document classification, chronology building, evidence categorisation, and translation of vernacular materials into English, an integration that most practitioners have not yet adopted. A recent standout matter involved a concession dispute with the Government of Gujarat over ferry operations, which ran to approximately 60 days of cross-examination before reaching closing arguments.</t>
  </si>
  <si>
    <t>Photos/Udayan-Choksi.png</t>
  </si>
  <si>
    <t>Udayan Choksi joined Veritas Legal in April 2025 to head the customs, international trade, and indirect tax practice, bringing dual qualifications in law and chartered accountancy alongside experience at a Big Four consultancy, his own firm, and several of India's largest practices.
His practice is near full-service across classification, valuation, WTO issues, trade remedies, and the growing area of export controls. Recent work includes supply chain restructuring for garments and jewellery clients responding to US tariffs, pharmaceutical advisory on the Make in India programme, and securing a zero dumping margin for a Canadian manufacturer after two High Court interventions. He is among the more prolific technology users in this cohort, trialling Legora alongside Jurisphere for drafting and research, though yet to commit to either.</t>
  </si>
  <si>
    <t>Photos/Unnati-Agrawal-Copy.png</t>
  </si>
  <si>
    <t>Unnati Agarwal at CMSINDUS Law scores most strongly on her RISE experience metrics, with consistently strong client feedback across all indicators reflecting a holistic approach to client service that extends beyond legal advice to wider business impact and forward planning. RISE instruction metrics are also strong, with complexity and client base the standout sub-indicators. The complexity in her mandates is driven by evolving regulatory frameworks requiring iterative engagement with regulators and careful management of process, timing, and interpretation. Her practice sits at the intersection of competition law and wider regulatory frameworks, regularly handling matters that require navigating overlapping regimes and resolving points of statutory interpretation in high-stakes litigation and merger control contexts. She takes a personal interest in clients' businesses, preparing them for regulatory impacts down the line rather than advising on immediate legal issues alone.</t>
  </si>
  <si>
    <t>IND08616</t>
  </si>
  <si>
    <t>Utham Chengappa.jpg</t>
  </si>
  <si>
    <t>Utham Chengappa has built a good profile in the technology sector, reflected in his RISE reputation rating. His RISE instruction score is driven by a start-up-focused practice where complexity comes not from deal size but advising businesses where technology is developing faster than  legal and regulatory frameworks. While his broad practices covers areas outside cyber, he regularly advises founders on related areas including regulatory compliance, product commercialisation, and data protection across sectors including gaming, aerospace, and defence manufacturing. After nearly ten years working in-house, Chengappa brings a different perspective to his work with clients.</t>
  </si>
  <si>
    <t>Photos/Uttara-M.-Kolhatkar-profile-picture-1024x369.jpg</t>
  </si>
  <si>
    <t>Uttara M Kolhatkar</t>
  </si>
  <si>
    <t>Uttara Kolhatkar at JSA, Advocates &amp; Solicitors, receives the second highest RISE Reputation score, with peer recommendations and media profile both performing well within the RISE metrics. In Instructions, Kolhatkar's work value and client roster of major international banks, leading issuers and other arrangers stand out. Her practice focuses majorly on offshore bonds, covering Rule 144A and Regulation S standalone issuances across vanilla EMTN and GMTN programmes, green bonds, sustainability-linked bonds, Samurai bonds, Formosa bonds, and orphan SPV structures, one of the more technically demanding spheres of Indian debt capital markets. JSA is among very few top-tier Indian firms active in this space, and Kolhatkar runs that capability alongside a single senior partner, which gives the practice an unusual concentration of expertise at the top.</t>
  </si>
  <si>
    <t>Photos/v-lakshmikumaran-managing-partner-lakshmikumaran-sridharan-attorneys.jpg</t>
  </si>
  <si>
    <t>V Lakshmikumaran</t>
  </si>
  <si>
    <t>V Lakshmikumaran receives more peer mentions than any other lawyer in this cohort, a margin that reflects decades at the top of the Indian international trade market and a reputation that extends well beyond the practitioners he competes with directly.
Despite this length of tenure, Lakshmikumaran continues to act at the top level of trade law, and comes second in the overall RISE ranking for international trade. He advises the Government of India on a pro bono basis in FTA negotiations, travelling with trade delegations to talks with the EU, UK, Switzerland, Norway, and Australia, a contribution to Indian trade policy that sits alongside his commercial practice rather than replacing it.
The firm he founded and leads is among the largest and most comprehensive trade practices in the country, and his structured hybrid training programme for junior lawyers, combining scheduled partner lectures with early matter involvement, has shaped a generation of Indian trade practitioners.</t>
  </si>
  <si>
    <t>Vabhav-Choukse_profile-picture.jpg</t>
  </si>
  <si>
    <t>Vaibhav Choukse ranks within the top 20 of the RISE Competition list, underpinned by excellent instruction and experience metrics. His high scores are driven by a "star class" of international clients and the consistent complexity of the mandates he completes. His experience score is particularly notable for his leadership, expertise, and service quality, as well as the strength of his professional network. As an Equity Partner at JSA, Choukse divides his time equally between merger control and enforcement, managing a client base that is 70–80% international. Key instructions include Temasek Holdings, Hyundai Motors, GlaxoSmithKline, EQT, Interpublic and Ford Motor Company.
Choukse differentiates himself through his high profile across legal directories, though he receives fewer direct mentions from his peers. He believes in a structured, institutional approach to competition law, frequently integrating economists and forensic specialists into his team. Notably, JSA was among the first firms to file a merger notification under India’s deal-value threshold rules, positioning the practice at the forefront of matters where the law is still being operationalized. Combined with regular market-facing publications, this strategy ensures his practice is built for institutional credibility and technical depth.</t>
  </si>
  <si>
    <t>Photos/Varoon Chandra - ECM.jpg</t>
  </si>
  <si>
    <t>Varoon Chandra leads AZB's capital markets practice and scores most strongly on instructions and experience, with volume and value sub-indicators that reflect a consistent flow of complex mandates rather than high-profile work. His focus is primarily ECM, with DCM taken on selectively where the complexity warrants it. His client base spans Tata Capital, Hexaware, Swiggy, Canara Robeco, and Infosys across a sector-agnostic practice that includes financial services, technology, consumer, and asset management.</t>
  </si>
  <si>
    <t>Photos/Veena-Final.png</t>
  </si>
  <si>
    <t>Veena Sivaramakrishnan's practice stands especially strong in Instructions, completing work for a great set of clients. Recent completed transactions include India's largest debt raise, at approximately $3bn, for Shapoorji Pallongji Group as well as one the country's largest FDI mandates in Indian financial services by Emirates Bank. As seen across the RISE Sophistication metrics, Sivarakmakrishnan also takes an interesting approach to pricing: most work is billed on a fixed-fee basis, with 15 to 20 per cent of matters charged hourly during early-stage structuring, and pricing data tracked through finance systems to inform future fee predictions. She notes that she is deliberate about knowing when to intervene in a transaction and when to let her team take ownership, staying current on regulatory developments as the foundation for both.</t>
  </si>
  <si>
    <t>Photos/Vijay-Parthasarathi.png</t>
  </si>
  <si>
    <t>Vijay Parthasarathi  leads a 25-lawyer practice and his instruction scores are his strongest metric, with consistently high-value mandates. 
His practice covers technology, Fintech, consumer and retail, real estate, renewables, and NBFCs. Both the recent PhonePe IPO, where his team represented PhonePe in September 2025, and the Brookfield REIT QIP, one of the largest real estate QIPs completed in India in December 2025, are standout recent matters, alongside a Piramal Group reverse merger listing that required navigating listing mechanics without a traditional IPO process.</t>
  </si>
  <si>
    <t>Photos/Vijayendra-Pratap-Singh_5792526_1.jpg</t>
  </si>
  <si>
    <t>Vijayendra Pratap Singh’s most notable RISE indicator is Reputation. He is consistently cited by peers across the Indian disputes market, setting him apart in this cohort. His RISE Instruction scores are also strong, reflecting sustained involvement in high-value arbitration matters. He has acted on significant mandates, including representing PS Toll Road in a high-value EPC dispute against NHAI, securing interim relief to protect toll revenues and successfully defending that position before the Delhi High Court. His client base includes major international technology companies and large domestic conglomerates. Singh also holds positions on the Court of SIAC, the Oman Arbitration Centre Executive Committee and the LCIA Asia User Council. He teaches at two universities and runs internal training programmes. He describes his approach as a win or learn philosophy.</t>
  </si>
  <si>
    <t>Photos/vinay-sirohia.png</t>
  </si>
  <si>
    <t>Vinay Sirohia has a good track record, able to handle complex, drawn-out transactions such as the Indo-MIM IPO.  His background spans equity, debt, and overseas financing programmes, and earlier transactions include the Gland Pharma IPO, the first Chinese-driven IPO in India, and Bharti Airtel's $9bn acquisition debt refinancing. Besides his strong market share, he is also a keen mentor. Junior lawyers are brought to pitch meetings and encouraged to build relationships with bankers early. His practice is sector-agnostic, covering tech, fintech, telecom, defence, manufacturing, staffing, pharma, healthcare, and retail.</t>
  </si>
  <si>
    <t>Photos/Vishal-Yaduvanshi.png</t>
  </si>
  <si>
    <t>Vishal Yaduvanshi's  instruction scores are his strongest RISE metric. and he scores particularly highly for the quality of his client base, with a consistent track record of high value mandates. His work includes PhonePe, the largest Indian payments gateway company at a $1.5bn IPO and $10 to $15bn valuation, and Physics Wallah, the first education technology company to go public in India at approximately $500mn, a listing that he says has materially restored market confidence in the edtech sector. 
Yaduvanshi is passionate about building cohesive teams. He runs quarterly social evenings and monthly meetings focused on the bigger picture rather than transactions, an approach he sees as central to retaining good people in a competitive market.</t>
  </si>
  <si>
    <t>Photos/Vijay-Pratap-Singh-Chauhan.png</t>
  </si>
  <si>
    <t>Volume is the clearest driver of Vijay Pratap Singh Chauhan's instructions profile at Cyril Amarchand Mangaldas, with the team's equal focus on merger control supporting a large number of marquee M&amp;A transactions generated by the firm's corporate departments, and enforcement matters. His own mandates sit at the broader end of that pipeline: not merely merger notifications, but advice spanning enforcement matters, competition policy, distribution strategy and market access for companies entering or expanding in India, which gives the instructions profile a strategic dimension alongside its scale. Vijay moved into competition from a corporate and capital markets background right before the enforcement of competition law in India and subsequently built out the team's strategic trade and market access practice.  He extensively advised the UK firm that supported the UK government in negotiating the free trade agreement with India — a mandate that reflects his ability to operate with a strategic, high-level perspective, acting as both an institutional builder and a hands-on practitioner. His account of how trade liberalisation generates future competition mandates reflects a commercially mature advisory style.</t>
  </si>
  <si>
    <t>IND08607</t>
  </si>
  <si>
    <t>Photos/Vyapak Desai - Arb.jpg</t>
  </si>
  <si>
    <t>Vyapak Desai established his own chambers in August 2025 after nearly 20 years at Nishith Desai Associates, where he built the arbitration practice from scratch into one of the firm's most significant verticals. His RISE reputation score is among the strongest in this cohort. He sits on the board of the Mumbai International Arbitration Centre and acts as Vice President of Arbitration of India, is consistently cited across legal directories, and carries a peer profile that few independent counsel in India can match. His instruction base reflects a practice built from the outset around non-Indian clients and non-Indian law, having handled arbitrations under English, Qatari, Finnish, Singaporean, and BIT regimes. Recent matters include a multibillion-dollar investment treaty claim by a Malaysian telecoms company against the Government of India and a Singapore-seated acquisition dispute against one of the world's largest cryptocurrency platform. A transactional background in M&amp;A and capital markets gives him an analytical lens that shapes how he approaches complex commercial disputes.</t>
  </si>
  <si>
    <t>IND08612</t>
  </si>
  <si>
    <t>Photos/Niloufer Lam.webp</t>
  </si>
  <si>
    <t>With a high RISE score in Instructions, Niloufer Lam's practice consists of a  high number of complex, medium-to-big ticket mandates. Lam's RISE Reputation score demonstrates that she is well perceived across legal directories and in the media, but recieves less recognition from her peers. Her client base centres on large public sector and infrastructure-linked issuers in power and energy, including Power Finance Corporation, REC, Power Grid, Indian Oil, and Hindustan Petroleum, alongside Tata and Axis entities. Power Finance Corporation's $8bn GMTN programme and REC's first market-linked deep-discount issuance, a first-of-its-kind structure in India, are the clearest illustrations of where her practice operates. A background spanning multiple jurisdictions and investment banking informs how she translates complex Indian regulatory issues for international clients.</t>
  </si>
  <si>
    <t>NL Legal</t>
  </si>
  <si>
    <t>Photos/Jitesh-Shahani-GS.jpeg</t>
  </si>
  <si>
    <t>With extensive experience across IPOs, QIPs, rights offerings and other ECM transactions, Jitesh Shahani at S&amp;R Associates is known for combining a strong technical command of Indian securities regulation with a practical, business-oriented approach. His sophistication scores in the RISE rating are notable. Training and development is the standout sub-indicator alongside a strong client base. His clients value his ability to anticipate regulatory issues and translate evolving frameworks into clear, actionable transaction strategy. Shahani brings substantial international experience to his practice, having worked in Singapore with leading international law firms. His recent representative matters include IPOs and other equity offerings for Afcons Infrastructure, Suzlon Energy, TBO Tek, Pine Labs and Sudeep Pharma.</t>
  </si>
  <si>
    <t>Photos/yaman-verma.png</t>
  </si>
  <si>
    <t>Yaman Verma ranks as the seventh-placed competition practitioner in this RISE rating, reflecting a position at the absolute top of the market. His strongest metric is Instructions, where he holds an nearly perfect score driven by exceptional client quality and the high volume of complex mandates he manages. He represents many of the largest digital and industrial entities in India, including WhatsApp, Meta, Microsoft, Flipkart, and Coal India Limited. Verma is a lead partner for WhatsApp and Meta in their major Indian litigations and a key advisor to Microsoft in high-profile abuse-of-dominance challenges.
Performances across both the RISE experience and sophistication metrics follow closely, pointing to a practice built on deep operational infrastructure. Within the sophistication category, Verma’s data usage is particularly notable; he leads the real-time collection and analysis of competition decisions to inform strategy. His practice spans the full competition spectrum, from phase-two merger reviews and remedies to landmark constitutional challenges. While he maintains a high profile across legal directories and receives strong peer recommendations, Verma differentiates himself through the sheer intensity of his practice, situated exactly where Indian competition law is actively being shaped.</t>
  </si>
  <si>
    <t>Photos/Yash-Ashar - ECM.png</t>
  </si>
  <si>
    <t>Yash J Ashar</t>
  </si>
  <si>
    <t>Yash J Ashar has the highest number of peer recommendations  and carries one of the strongest combined reputation and instruction scores in the Indian capital markets category. His practice spans IPOs, QIPs, and securities regulation. His ability to navigate SEBI and stock exchange scrutiny is commended by his peers . Ashar personally leads high-value transactions for clients such as Tata Capital, Swiggy, and Hyundai India, remaining closely involved through disclosure, regulatory, and structural complexity.</t>
  </si>
  <si>
    <t>Lomesh-Kiran.png</t>
  </si>
  <si>
    <t>Lomesh Nidumuri's RISE instruction scores are his strongest metric, with complexity as the standout indicator. He acted as sole arbitrator in a Singapore-seated, Singapore law-governed SIAC arbitration involving parties from Singapore, Bangladesh, and Japan in a loan agreement dispute, delivering the award himself. His practice handles complex commercial arbitrations across tech, fintech, start-ups, and unicorn disputes, frequently drawing on internal experts across tax, foreign exchange, and real estate. Talent development is also strong within his RISE instruction scores. He values intellectual curiosity and resilience, runs regular internal sessions, and brings in external speakers on specialist areas including international arbitration drafting. He also lectures on advocacy at King's College London. His hands-on approach extends to conducting pleadings, cross-examination, and arguments himself across all matters.</t>
  </si>
  <si>
    <t>Partner (Head - Disputes, South India)</t>
  </si>
  <si>
    <t>Photos/Indranil.png</t>
  </si>
  <si>
    <t>Indranil Deshmukh holds one of the strongest experience scores in this cohort, reflecting positive client feedback across all experience sub-indicators. His RISE instruction scores are equally solid, with a client base including Larsen &amp; Toubro, CG Power, the Board of Control for Cricket in India, Hindustan Petroleum, Greenko Group, and Maharashtra State Road Development Corporation. His practice specialises in construction, EPC, oil and gas, infrastructure, and media rights arbitrations, frequently with government counterparties including MMRDA and ONGC. Deshmukh's RISE scores indicate a practice that completes solid, legally complex work rather than prioritising a loud external reputation.</t>
  </si>
  <si>
    <t>IND08608</t>
  </si>
  <si>
    <t>Photos/Manoj K Singh.png</t>
  </si>
  <si>
    <t>Manoj K Singh's RISE instruction metrics are among the highest in this cohort by volume, built on a client base spanning NHAI, Adani Ports, Larsen &amp; Toubro, GMR Group, Jindal Group, and the Dedicated Freight Corridor Corporation, concentrated in infrastructure and construction arbitration across ports, airports, metro, rail, roads, and mining. AI usage is notable within his RISE sophistication scores. He uses Harvey and Relativity for e-discovery across matters involving two to five million pages of documentation, runs extensive internal training programmes across AI and discovery tools, and believes AI adoption is non-optional for practitioners who want to remain competitive. His differentiating model is end-to-end: damages analysis, technical and legal discovery, witness strategy, and advocacy are all handled internally rather than outsourced, a level of integration he sees as central to how his team delivers on complex mandates.</t>
  </si>
  <si>
    <t>IND08611</t>
  </si>
  <si>
    <t>Photos/Prashaant Rajput.jpg</t>
  </si>
  <si>
    <t>Prashant Rajput</t>
  </si>
  <si>
    <t>Prashaant Rajput at Economic Laws Practice acheives his strongest RISE scores in the sophistication of his practice. He uses AI to scan and compare transactional documents across repeat mandates, alongside interactive training that grounds juniors in the real impact of regulatory changes on live transactions. The Waterways Leisure IPO, a luxury cruise listing with no Indian market comparator, illustrates his practice well: a niche sector requiring careful pre-emptive drafting and disclosure work. Rajput is candid about managing egos across a transactional team and views collaborative problem-solving, including owning mistakes, as central to getting deals done.</t>
  </si>
  <si>
    <t>Photos/Shuva Mandal.jpg</t>
  </si>
  <si>
    <t>Photos/Ashwath Rau.jpg</t>
  </si>
  <si>
    <t>Photos/Nandish Vyas.png</t>
  </si>
  <si>
    <t>Photos/Darshika Kothari.jpg</t>
  </si>
  <si>
    <t>Photos/Anil Kasturi.png</t>
  </si>
  <si>
    <t>Photos/Vaidhyanandan Iyer.png</t>
  </si>
  <si>
    <t>Photos/Srinath Dasari.jpg</t>
  </si>
  <si>
    <t>Photos/Nanditha Gopal.jpg</t>
  </si>
  <si>
    <t>Photos/Roxanne Anderson.png</t>
  </si>
  <si>
    <t>Photos/images.jpeg</t>
  </si>
  <si>
    <t>Photos/Nivedita Rao.png</t>
  </si>
  <si>
    <t>Photos/Ravindra Bandhakavi.jpg</t>
  </si>
  <si>
    <t>Photos/Iqbal Khan.png</t>
  </si>
  <si>
    <t>Photos/Pranav Sharma.png</t>
  </si>
  <si>
    <t>Photos/Reeba Chacko.png</t>
  </si>
  <si>
    <t>Photos/Winnie Shekhar.jpg</t>
  </si>
  <si>
    <t>Photos/Minhaz Lokhandwala.jpg</t>
  </si>
  <si>
    <t>Photos/Siddharth Mody.jpg</t>
  </si>
  <si>
    <t>Photos/Vikram Raghani.jpg</t>
  </si>
  <si>
    <t>Photos/Kartick Maheshwari.png</t>
  </si>
  <si>
    <t>Photos/Siddharth Shah.png</t>
  </si>
  <si>
    <t>Photos/Haigreve Khaitan.png</t>
  </si>
  <si>
    <t>Photos/Rabindra Jhunjhunwala.png</t>
  </si>
  <si>
    <t>Photos/Shishir Vattyaden.jpg</t>
  </si>
  <si>
    <t>Photos/Nikhil Narayanan.jpg</t>
  </si>
  <si>
    <t>Photos/Vivek Mimani.png</t>
  </si>
  <si>
    <t>Photos/Bharat Anand.png</t>
  </si>
  <si>
    <t>Photos/Nidhi Killawala.png</t>
  </si>
  <si>
    <t>Photos/Divaspati Singh.png</t>
  </si>
  <si>
    <t>Photos/Siddhart Srivastava.png</t>
  </si>
  <si>
    <t>Photos/Deepak Jodhani.png</t>
  </si>
  <si>
    <t>Photos/Nishchal Joshipura.png</t>
  </si>
  <si>
    <t>Photos/Sharda Balaji.jpg</t>
  </si>
  <si>
    <t>Photos/Gunjan Shah.png</t>
  </si>
  <si>
    <t>Photos/Raghubir Menon.png</t>
  </si>
  <si>
    <t/>
  </si>
  <si>
    <t>Photos/Manish Gupta.png</t>
  </si>
  <si>
    <t>Photos/Jay Gandhi.png</t>
  </si>
  <si>
    <t>Photos/Ganesh Rao.png</t>
  </si>
  <si>
    <t>Photos/Nishant Parikh.png</t>
  </si>
  <si>
    <t>Photos/Amit Khansaheb.png</t>
  </si>
  <si>
    <t>Photos/Aditya Jha.png</t>
  </si>
  <si>
    <t>Photos/Yogesh Singh.png</t>
  </si>
  <si>
    <t>Photos/Harsh Maggon.png</t>
  </si>
  <si>
    <t>Photos/Kannan Rahul.png</t>
  </si>
  <si>
    <t>Photos/Pranav Atit.png</t>
  </si>
  <si>
    <t>Photos/Sai Krishna Barathan.png</t>
  </si>
  <si>
    <t>Photos/Sonali Mahapatra.jpg</t>
  </si>
  <si>
    <t>Photos/Gautam Sahah.png</t>
  </si>
  <si>
    <t>Photos/Abhijit Joshi.png</t>
  </si>
  <si>
    <t>Position Check</t>
  </si>
  <si>
    <t>X</t>
  </si>
  <si>
    <t>*Co-Founder and Advocate*</t>
  </si>
  <si>
    <t>*Just describes himself as 'Partner'*</t>
  </si>
  <si>
    <t>Partner (Co-head - Technology &amp; Telecommunications)</t>
  </si>
  <si>
    <t>Changes (Name, Title, Location, Picture)</t>
  </si>
  <si>
    <t>*Partner &amp; Head of Dispute Practice*</t>
  </si>
  <si>
    <t>*Indranil D. Deshmukh*</t>
  </si>
  <si>
    <t>*Instruction Scores look off*</t>
  </si>
  <si>
    <t>*Lomesh Kiran Nidumuri*</t>
  </si>
  <si>
    <t>*Partner and Practice Lead*</t>
  </si>
  <si>
    <t>*Founding Partner*</t>
  </si>
  <si>
    <t>*Delhi*</t>
  </si>
  <si>
    <t>*Uttara M. Kolhatkar*</t>
  </si>
  <si>
    <t>*Partner &amp; Co-head - Banking and Finance*</t>
  </si>
  <si>
    <t>Partner (Head - Capital Markets)</t>
  </si>
  <si>
    <t>*Partner (Co-head - Projects (Infrastructure))*</t>
  </si>
  <si>
    <t>*Yash J. Ashar* *Senior Partner*</t>
  </si>
  <si>
    <t>Partner and Head of Capital Markets Practice</t>
  </si>
  <si>
    <t>*Just Partner on Website &amp; LinkedIn*</t>
  </si>
  <si>
    <t>*Head of Capital Markets Practice* - but given as description not title</t>
  </si>
  <si>
    <t>Regional *Co-*head</t>
  </si>
  <si>
    <t>*WRONG IMAGE - uses Abhinav Maker's*</t>
  </si>
  <si>
    <t>*Partner and Competion Practice Chair*</t>
  </si>
  <si>
    <t>*Karan Singh Chandhiok*</t>
  </si>
  <si>
    <t>*Partner and Co-founder*</t>
  </si>
  <si>
    <t>*Samir R. Gandhi* *Partner and Co-founder*</t>
  </si>
  <si>
    <t>*Senior Partner*</t>
  </si>
  <si>
    <t>*Partner*</t>
  </si>
  <si>
    <t>*Partner and Co-founder* to match ordering elsewhere</t>
  </si>
  <si>
    <t>*Arun S. Prabhu*</t>
  </si>
  <si>
    <t>*Partner and Co-head (International Trade &amp; Customs)*</t>
  </si>
  <si>
    <t>*Executive Partner*</t>
  </si>
  <si>
    <t>*Co-Founder and Partner*</t>
  </si>
  <si>
    <t>*Equity Partner*</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</si>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</sst>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33" borderId="0" xfId="0" applyFont="1"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CE8E8"/>
        </patternFill>
      </fill>
    </dxf>
    <dxf>
      <font>
        <color rgb="FF006100"/>
      </font>
      <fill>
        <patternFill>
          <bgColor rgb="FFC6EFCE"/>
        </patternFill>
      </fill>
    </dxf>
    <dxf>
      <font>
        <color rgb="FFC00000"/>
      </font>
      <fill>
        <patternFill>
          <bgColor rgb="FFFCE8E8"/>
        </patternFill>
      </fill>
    </dxf>
    <dxf>
      <font>
        <color rgb="FF006100"/>
      </font>
      <fill>
        <patternFill>
          <bgColor rgb="FFC6EFCE"/>
        </patternFill>
      </fill>
    </dxf>
    <dxf>
      <font>
        <color rgb="FFC00000"/>
      </font>
      <fill>
        <patternFill>
          <bgColor rgb="FFFCE8E8"/>
        </patternFill>
      </fill>
    </dxf>
    <dxf>
      <font>
        <color rgb="FF006100"/>
      </font>
      <fill>
        <patternFill>
          <bgColor rgb="FFC6EFCE"/>
        </patternFill>
      </fill>
    </dxf>
    <dxf>
      <font>
        <color rgb="FFC00000"/>
      </font>
      <fill>
        <patternFill>
          <bgColor rgb="FFFCE8E8"/>
        </patternFill>
      </fill>
    </dxf>
    <dxf>
      <font>
        <color rgb="FF006100"/>
      </font>
      <fill>
        <patternFill>
          <bgColor rgb="FFC6EFCE"/>
        </patternFill>
      </fill>
    </dxf>
    <dxf>
      <font>
        <color rgb="FFC00000"/>
      </font>
      <fill>
        <patternFill>
          <bgColor rgb="FFFCE8E8"/>
        </patternFill>
      </fill>
    </dxf>
    <dxf>
      <font>
        <color rgb="FF006100"/>
      </font>
      <fill>
        <patternFill>
          <bgColor rgb="FFC6EFCE"/>
        </patternFill>
      </fill>
    </dxf>
    <dxf>
      <font>
        <color rgb="FFC00000"/>
      </font>
      <fill>
        <patternFill>
          <bgColor rgb="FFFCE8E8"/>
        </patternFill>
      </fill>
    </dxf>
    <dxf>
      <font>
        <color rgb="FF006100"/>
      </font>
      <fill>
        <patternFill>
          <bgColor rgb="FFC6EFCE"/>
        </patternFill>
      </fill>
    </dxf>
  </dxfs>
  <tableStyles count="0" defaultTableStyle="TableStyleMedium2" defaultPivotStyle="PivotStyleLight16"/>
  <colors>
    <mruColors>
      <color rgb="FFFC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15A2B5-65A0-41F9-959C-69D3AC38880F}" name="Table1" displayName="Table1" ref="A1:I204" totalsRowShown="0">
  <autoFilter ref="A1:I204" xr:uid="{2B15A2B5-65A0-41F9-959C-69D3AC38880F}"/>
  <tableColumns count="9">
    <tableColumn id="1" xr3:uid="{CD419288-51E3-40E7-AE0A-0D0724709995}" name="Resight ID"/>
    <tableColumn id="2" xr3:uid="{C83BA541-8DBD-4792-A15C-C8BEF9272150}" name="Rankings"/>
    <tableColumn id="3" xr3:uid="{B0B3D821-F9EC-4A4D-96D9-0070E8E3521A}" name="Name"/>
    <tableColumn id="4" xr3:uid="{DB77B57E-53A6-4144-B935-4D667C40D6EA}" name="Position"/>
    <tableColumn id="5" xr3:uid="{C909F348-98F8-4174-8986-4C7783E99B8B}" name="Position Check">
      <calculatedColumnFormula>IF(D2=(_xlfn.XLOOKUP(RISE_lawyers!$A2, 'Private Capital'!$A$2:$A$51,'Private Capital'!G$2:G$51)), TRUE, FALSE)</calculatedColumnFormula>
    </tableColumn>
    <tableColumn id="6" xr3:uid="{2313978B-AAE4-488F-930B-110ECB692BF3}" name="Location"/>
    <tableColumn id="7" xr3:uid="{187A41B6-BD7C-4D66-9630-39D180FAE804}" name="Column1">
      <calculatedColumnFormula>IF(F2=(_xlfn.XLOOKUP(RISE_lawyers!$A2, 'Private Capital'!$A$2:$A$51,'Private Capital'!F$2:F$51)), TRUE, FALSE)</calculatedColumnFormula>
    </tableColumn>
    <tableColumn id="8" xr3:uid="{A924C523-6F19-431A-9DD6-030E91C721C3}" name="Organisation"/>
    <tableColumn id="9" xr3:uid="{FB4D0D3E-E245-459D-977B-5E262345A8D4}" name="Bi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B553-7BE1-4744-A1BF-536C9E7A3EC0}">
  <dimension ref="A1:D33"/>
  <sheetViews>
    <sheetView workbookViewId="0">
      <selection activeCell="B39" sqref="B39"/>
    </sheetView>
  </sheetViews>
  <sheetFormatPr defaultRowHeight="15" customHeight="1" x14ac:dyDescent="0.35"/>
  <cols>
    <col min="2" max="2" width="33.1796875" customWidth="1"/>
    <col min="3" max="3" width="19" customWidth="1"/>
    <col min="4" max="4" width="13.90625" customWidth="1"/>
  </cols>
  <sheetData>
    <row r="1" spans="1:4" ht="15" customHeight="1" x14ac:dyDescent="0.35">
      <c r="A1" t="s">
        <v>0</v>
      </c>
      <c r="B1" t="s">
        <v>1</v>
      </c>
      <c r="C1" t="s">
        <v>2</v>
      </c>
      <c r="D1" t="s">
        <v>996</v>
      </c>
    </row>
    <row r="2" spans="1:4" ht="15" customHeight="1" x14ac:dyDescent="0.35">
      <c r="A2" t="s">
        <v>45</v>
      </c>
      <c r="B2" t="s">
        <v>21</v>
      </c>
      <c r="C2" t="s">
        <v>46</v>
      </c>
      <c r="D2" t="s">
        <v>998</v>
      </c>
    </row>
    <row r="3" spans="1:4" ht="15" customHeight="1" x14ac:dyDescent="0.35">
      <c r="A3" t="s">
        <v>55</v>
      </c>
      <c r="B3" t="s">
        <v>21</v>
      </c>
      <c r="C3" t="s">
        <v>56</v>
      </c>
      <c r="D3" t="s">
        <v>1000</v>
      </c>
    </row>
    <row r="4" spans="1:4" ht="15" customHeight="1" x14ac:dyDescent="0.35">
      <c r="A4" t="s">
        <v>85</v>
      </c>
      <c r="B4" t="s">
        <v>21</v>
      </c>
      <c r="C4" t="s">
        <v>86</v>
      </c>
      <c r="D4" t="s">
        <v>997</v>
      </c>
    </row>
    <row r="5" spans="1:4" ht="15" customHeight="1" x14ac:dyDescent="0.35">
      <c r="A5" t="s">
        <v>89</v>
      </c>
      <c r="B5" t="s">
        <v>21</v>
      </c>
      <c r="C5" t="s">
        <v>90</v>
      </c>
      <c r="D5" t="s">
        <v>1001</v>
      </c>
    </row>
    <row r="6" spans="1:4" ht="15" customHeight="1" x14ac:dyDescent="0.35">
      <c r="A6" t="s">
        <v>92</v>
      </c>
      <c r="B6" t="s">
        <v>21</v>
      </c>
      <c r="C6" t="s">
        <v>93</v>
      </c>
      <c r="D6" t="s">
        <v>1002</v>
      </c>
    </row>
    <row r="7" spans="1:4" ht="15" customHeight="1" x14ac:dyDescent="0.35">
      <c r="A7" t="s">
        <v>105</v>
      </c>
      <c r="B7" t="s">
        <v>21</v>
      </c>
      <c r="C7" t="s">
        <v>106</v>
      </c>
      <c r="D7" t="s">
        <v>1003</v>
      </c>
    </row>
    <row r="8" spans="1:4" ht="15" customHeight="1" x14ac:dyDescent="0.35">
      <c r="A8" t="s">
        <v>127</v>
      </c>
      <c r="B8" t="s">
        <v>110</v>
      </c>
      <c r="C8" t="s">
        <v>128</v>
      </c>
      <c r="D8" t="s">
        <v>1004</v>
      </c>
    </row>
    <row r="9" spans="1:4" ht="15" customHeight="1" x14ac:dyDescent="0.35">
      <c r="A9" t="s">
        <v>129</v>
      </c>
      <c r="B9" t="s">
        <v>130</v>
      </c>
      <c r="C9" t="s">
        <v>131</v>
      </c>
      <c r="D9" t="s">
        <v>1007</v>
      </c>
    </row>
    <row r="10" spans="1:4" ht="15" customHeight="1" x14ac:dyDescent="0.35">
      <c r="A10" t="s">
        <v>141</v>
      </c>
      <c r="B10" t="s">
        <v>135</v>
      </c>
      <c r="C10" t="s">
        <v>142</v>
      </c>
      <c r="D10" t="s">
        <v>1013</v>
      </c>
    </row>
    <row r="11" spans="1:4" ht="15" customHeight="1" x14ac:dyDescent="0.35">
      <c r="A11" t="s">
        <v>155</v>
      </c>
      <c r="B11" t="s">
        <v>135</v>
      </c>
      <c r="C11" t="s">
        <v>156</v>
      </c>
      <c r="D11" t="s">
        <v>1009</v>
      </c>
    </row>
    <row r="12" spans="1:4" ht="15" customHeight="1" x14ac:dyDescent="0.35">
      <c r="A12" t="s">
        <v>161</v>
      </c>
      <c r="B12" t="s">
        <v>135</v>
      </c>
      <c r="C12" t="s">
        <v>162</v>
      </c>
      <c r="D12" t="s">
        <v>1012</v>
      </c>
    </row>
    <row r="13" spans="1:4" ht="15" customHeight="1" x14ac:dyDescent="0.35">
      <c r="A13" t="s">
        <v>175</v>
      </c>
      <c r="B13" t="s">
        <v>135</v>
      </c>
      <c r="C13" t="s">
        <v>176</v>
      </c>
      <c r="D13" t="s">
        <v>1006</v>
      </c>
    </row>
    <row r="14" spans="1:4" ht="15" customHeight="1" x14ac:dyDescent="0.35">
      <c r="A14" t="s">
        <v>203</v>
      </c>
      <c r="B14" t="s">
        <v>135</v>
      </c>
      <c r="C14" t="s">
        <v>204</v>
      </c>
      <c r="D14" t="s">
        <v>1011</v>
      </c>
    </row>
    <row r="15" spans="1:4" ht="15" customHeight="1" x14ac:dyDescent="0.35">
      <c r="A15" t="s">
        <v>205</v>
      </c>
      <c r="B15" t="s">
        <v>110</v>
      </c>
      <c r="C15" t="s">
        <v>206</v>
      </c>
      <c r="D15" t="s">
        <v>1005</v>
      </c>
    </row>
    <row r="16" spans="1:4" ht="15" customHeight="1" x14ac:dyDescent="0.35">
      <c r="A16" t="s">
        <v>207</v>
      </c>
      <c r="B16" t="s">
        <v>135</v>
      </c>
      <c r="C16" t="s">
        <v>208</v>
      </c>
      <c r="D16" t="s">
        <v>1010</v>
      </c>
    </row>
    <row r="17" spans="1:4" ht="15" customHeight="1" x14ac:dyDescent="0.35">
      <c r="A17" t="s">
        <v>217</v>
      </c>
      <c r="B17" t="s">
        <v>135</v>
      </c>
      <c r="C17" t="s">
        <v>218</v>
      </c>
      <c r="D17" t="s">
        <v>1008</v>
      </c>
    </row>
    <row r="18" spans="1:4" ht="15" customHeight="1" x14ac:dyDescent="0.35">
      <c r="A18" t="s">
        <v>240</v>
      </c>
      <c r="B18" t="s">
        <v>223</v>
      </c>
      <c r="C18" t="s">
        <v>241</v>
      </c>
      <c r="D18" t="s">
        <v>1019</v>
      </c>
    </row>
    <row r="19" spans="1:4" ht="15" customHeight="1" x14ac:dyDescent="0.35">
      <c r="A19" t="s">
        <v>245</v>
      </c>
      <c r="B19" t="s">
        <v>223</v>
      </c>
      <c r="C19" t="s">
        <v>246</v>
      </c>
      <c r="D19" t="s">
        <v>1018</v>
      </c>
    </row>
    <row r="20" spans="1:4" ht="15" customHeight="1" x14ac:dyDescent="0.35">
      <c r="A20" t="s">
        <v>263</v>
      </c>
      <c r="B20" t="s">
        <v>223</v>
      </c>
      <c r="C20" t="s">
        <v>264</v>
      </c>
      <c r="D20" t="s">
        <v>1018</v>
      </c>
    </row>
    <row r="21" spans="1:4" ht="15" customHeight="1" x14ac:dyDescent="0.35">
      <c r="A21" t="s">
        <v>265</v>
      </c>
      <c r="B21" t="s">
        <v>223</v>
      </c>
      <c r="C21" t="s">
        <v>266</v>
      </c>
      <c r="D21" t="s">
        <v>1015</v>
      </c>
    </row>
    <row r="22" spans="1:4" ht="15" customHeight="1" x14ac:dyDescent="0.35">
      <c r="A22" t="s">
        <v>276</v>
      </c>
      <c r="B22" t="s">
        <v>223</v>
      </c>
      <c r="C22" t="s">
        <v>277</v>
      </c>
      <c r="D22" t="s">
        <v>1014</v>
      </c>
    </row>
    <row r="23" spans="1:4" ht="15" customHeight="1" x14ac:dyDescent="0.35">
      <c r="A23" t="s">
        <v>280</v>
      </c>
      <c r="B23" t="s">
        <v>223</v>
      </c>
      <c r="C23" t="s">
        <v>281</v>
      </c>
      <c r="D23" t="s">
        <v>1020</v>
      </c>
    </row>
    <row r="24" spans="1:4" ht="15" customHeight="1" x14ac:dyDescent="0.35">
      <c r="A24" t="s">
        <v>283</v>
      </c>
      <c r="B24" t="s">
        <v>223</v>
      </c>
      <c r="C24" t="s">
        <v>284</v>
      </c>
      <c r="D24" t="s">
        <v>1016</v>
      </c>
    </row>
    <row r="25" spans="1:4" ht="15" customHeight="1" x14ac:dyDescent="0.35">
      <c r="A25" t="s">
        <v>294</v>
      </c>
      <c r="B25" t="s">
        <v>223</v>
      </c>
      <c r="C25" t="s">
        <v>295</v>
      </c>
      <c r="D25" t="s">
        <v>1017</v>
      </c>
    </row>
    <row r="26" spans="1:4" ht="15" customHeight="1" x14ac:dyDescent="0.35">
      <c r="A26" t="s">
        <v>313</v>
      </c>
      <c r="B26" t="s">
        <v>314</v>
      </c>
      <c r="C26" t="s">
        <v>315</v>
      </c>
      <c r="D26" t="s">
        <v>1016</v>
      </c>
    </row>
    <row r="27" spans="1:4" ht="15" customHeight="1" x14ac:dyDescent="0.35">
      <c r="A27" t="s">
        <v>327</v>
      </c>
      <c r="B27" t="s">
        <v>319</v>
      </c>
      <c r="C27" t="s">
        <v>328</v>
      </c>
      <c r="D27" t="s">
        <v>1021</v>
      </c>
    </row>
    <row r="28" spans="1:4" ht="15" customHeight="1" x14ac:dyDescent="0.35">
      <c r="A28" t="s">
        <v>375</v>
      </c>
      <c r="B28" t="s">
        <v>366</v>
      </c>
      <c r="C28" t="s">
        <v>376</v>
      </c>
      <c r="D28" t="s">
        <v>1024</v>
      </c>
    </row>
    <row r="29" spans="1:4" ht="15" customHeight="1" x14ac:dyDescent="0.35">
      <c r="A29" t="s">
        <v>379</v>
      </c>
      <c r="B29" t="s">
        <v>366</v>
      </c>
      <c r="C29" t="s">
        <v>380</v>
      </c>
      <c r="D29" t="s">
        <v>1023</v>
      </c>
    </row>
    <row r="30" spans="1:4" ht="15" customHeight="1" x14ac:dyDescent="0.35">
      <c r="A30" t="s">
        <v>385</v>
      </c>
      <c r="B30" t="s">
        <v>366</v>
      </c>
      <c r="C30" t="s">
        <v>386</v>
      </c>
      <c r="D30" t="s">
        <v>1025</v>
      </c>
    </row>
    <row r="31" spans="1:4" ht="15" customHeight="1" x14ac:dyDescent="0.35">
      <c r="A31" t="s">
        <v>391</v>
      </c>
      <c r="B31" t="s">
        <v>366</v>
      </c>
      <c r="C31" t="s">
        <v>392</v>
      </c>
      <c r="D31" t="s">
        <v>1022</v>
      </c>
    </row>
    <row r="32" spans="1:4" ht="15" customHeight="1" x14ac:dyDescent="0.35">
      <c r="A32" t="s">
        <v>393</v>
      </c>
      <c r="B32" t="s">
        <v>366</v>
      </c>
      <c r="C32" t="s">
        <v>394</v>
      </c>
      <c r="D32" t="s">
        <v>993</v>
      </c>
    </row>
    <row r="33" spans="1:4" ht="15" customHeight="1" x14ac:dyDescent="0.35">
      <c r="A33" t="s">
        <v>395</v>
      </c>
      <c r="B33" t="s">
        <v>366</v>
      </c>
      <c r="C33" t="s">
        <v>396</v>
      </c>
      <c r="D33" t="s">
        <v>1018</v>
      </c>
    </row>
  </sheetData>
  <conditionalFormatting sqref="D3 D6">
    <cfRule type="cellIs" dxfId="16" priority="9" operator="equal">
      <formula>TRUE</formula>
    </cfRule>
    <cfRule type="cellIs" dxfId="15" priority="10" operator="equal">
      <formula>FALSE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0B5C-7804-49F0-96A9-73AE4CB660CF}">
  <dimension ref="A1:K204"/>
  <sheetViews>
    <sheetView tabSelected="1" topLeftCell="A27" workbookViewId="0">
      <selection activeCell="M29" sqref="M29"/>
    </sheetView>
  </sheetViews>
  <sheetFormatPr defaultRowHeight="15" customHeight="1" x14ac:dyDescent="0.35"/>
  <cols>
    <col min="1" max="1" width="11.7265625" customWidth="1"/>
    <col min="2" max="2" width="33.1796875" customWidth="1"/>
    <col min="3" max="3" width="19" customWidth="1"/>
    <col min="4" max="4" width="10" customWidth="1"/>
    <col min="5" max="5" width="17.81640625" customWidth="1"/>
    <col min="6" max="6" width="10.26953125" customWidth="1"/>
    <col min="7" max="7" width="10.6328125" customWidth="1"/>
    <col min="8" max="8" width="31.90625" customWidth="1"/>
    <col min="9" max="9" width="22.08984375" customWidth="1"/>
    <col min="10" max="10" width="13.90625" customWidth="1"/>
  </cols>
  <sheetData>
    <row r="1" spans="1:10" ht="15" customHeight="1" x14ac:dyDescent="0.35">
      <c r="A1" t="s">
        <v>0</v>
      </c>
      <c r="B1" t="s">
        <v>1</v>
      </c>
      <c r="C1" t="s">
        <v>2</v>
      </c>
      <c r="D1" t="s">
        <v>3</v>
      </c>
      <c r="E1" t="s">
        <v>991</v>
      </c>
      <c r="F1" t="s">
        <v>4</v>
      </c>
      <c r="G1" t="s">
        <v>1026</v>
      </c>
      <c r="H1" t="s">
        <v>5</v>
      </c>
      <c r="I1" t="s">
        <v>6</v>
      </c>
      <c r="J1" t="s">
        <v>996</v>
      </c>
    </row>
    <row r="2" spans="1:10" ht="15" customHeight="1" x14ac:dyDescent="0.35">
      <c r="A2" t="s">
        <v>20</v>
      </c>
      <c r="B2" t="s">
        <v>21</v>
      </c>
      <c r="C2" t="s">
        <v>22</v>
      </c>
      <c r="D2" t="s">
        <v>23</v>
      </c>
      <c r="E2" t="b">
        <f>IF(D2=(_xlfn.XLOOKUP(RISE_lawyers!$A2, All!$A$2:$A$158,All!H$2:H$158)), TRUE, FALSE)</f>
        <v>1</v>
      </c>
      <c r="F2" t="s">
        <v>24</v>
      </c>
      <c r="G2" t="b">
        <f>IF(F2=(_xlfn.XLOOKUP(RISE_lawyers!$A2, All!$A$2:$A$158,All!G$2:G$158)), TRUE, FALSE)</f>
        <v>1</v>
      </c>
      <c r="H2" t="s">
        <v>25</v>
      </c>
      <c r="J2" t="s">
        <v>992</v>
      </c>
    </row>
    <row r="3" spans="1:10" ht="15" customHeight="1" x14ac:dyDescent="0.35">
      <c r="A3" t="s">
        <v>27</v>
      </c>
      <c r="B3" t="s">
        <v>21</v>
      </c>
      <c r="C3" t="s">
        <v>28</v>
      </c>
      <c r="D3" t="s">
        <v>29</v>
      </c>
      <c r="E3" t="b">
        <f>IF(D3=(_xlfn.XLOOKUP(RISE_lawyers!$A3, All!$A$2:$A$158,All!H$2:H$158)), TRUE, FALSE)</f>
        <v>1</v>
      </c>
      <c r="F3" t="s">
        <v>24</v>
      </c>
      <c r="G3" t="b">
        <f>IF(F3=(_xlfn.XLOOKUP(RISE_lawyers!$A3, All!$A$2:$A$158,All!G$2:G$158)), TRUE, FALSE)</f>
        <v>1</v>
      </c>
      <c r="H3" t="s">
        <v>30</v>
      </c>
      <c r="J3" t="s">
        <v>992</v>
      </c>
    </row>
    <row r="4" spans="1:10" ht="15" customHeight="1" x14ac:dyDescent="0.35">
      <c r="A4" t="s">
        <v>31</v>
      </c>
      <c r="B4" t="s">
        <v>21</v>
      </c>
      <c r="C4" t="s">
        <v>32</v>
      </c>
      <c r="D4" t="s">
        <v>23</v>
      </c>
      <c r="E4" t="b">
        <f>IF(D4=(_xlfn.XLOOKUP(RISE_lawyers!$A4, All!$A$2:$A$158,All!H$2:H$158)), TRUE, FALSE)</f>
        <v>1</v>
      </c>
      <c r="F4" t="s">
        <v>24</v>
      </c>
      <c r="G4" t="b">
        <f>IF(F4=(_xlfn.XLOOKUP(RISE_lawyers!$A4, All!$A$2:$A$158,All!G$2:G$158)), TRUE, FALSE)</f>
        <v>1</v>
      </c>
      <c r="H4" t="s">
        <v>33</v>
      </c>
      <c r="J4" t="s">
        <v>992</v>
      </c>
    </row>
    <row r="5" spans="1:10" ht="15" customHeight="1" x14ac:dyDescent="0.35">
      <c r="A5" t="s">
        <v>34</v>
      </c>
      <c r="B5" t="s">
        <v>21</v>
      </c>
      <c r="C5" t="s">
        <v>35</v>
      </c>
      <c r="D5" t="s">
        <v>23</v>
      </c>
      <c r="E5" t="b">
        <f>IF(D5=(_xlfn.XLOOKUP(RISE_lawyers!$A5, All!$A$2:$A$158,All!H$2:H$158)), TRUE, FALSE)</f>
        <v>1</v>
      </c>
      <c r="F5" t="s">
        <v>24</v>
      </c>
      <c r="G5" t="b">
        <f>IF(F5=(_xlfn.XLOOKUP(RISE_lawyers!$A5, All!$A$2:$A$158,All!G$2:G$158)), TRUE, FALSE)</f>
        <v>1</v>
      </c>
      <c r="H5" t="s">
        <v>36</v>
      </c>
      <c r="J5" t="s">
        <v>992</v>
      </c>
    </row>
    <row r="6" spans="1:10" ht="15" customHeight="1" x14ac:dyDescent="0.35">
      <c r="A6" t="s">
        <v>37</v>
      </c>
      <c r="B6" t="s">
        <v>21</v>
      </c>
      <c r="C6" t="s">
        <v>38</v>
      </c>
      <c r="D6" t="s">
        <v>60</v>
      </c>
      <c r="E6" t="b">
        <f>IF(D6=(_xlfn.XLOOKUP(RISE_lawyers!$A6, All!$A$2:$A$158,All!H$2:H$158)), TRUE, FALSE)</f>
        <v>1</v>
      </c>
      <c r="F6" t="s">
        <v>39</v>
      </c>
      <c r="G6" t="b">
        <f>IF(F6=(_xlfn.XLOOKUP(RISE_lawyers!$A6, All!$A$2:$A$158,All!G$2:G$158)), TRUE, FALSE)</f>
        <v>1</v>
      </c>
      <c r="H6" t="s">
        <v>25</v>
      </c>
      <c r="J6" t="s">
        <v>992</v>
      </c>
    </row>
    <row r="7" spans="1:10" ht="15" customHeight="1" x14ac:dyDescent="0.35">
      <c r="A7" t="s">
        <v>40</v>
      </c>
      <c r="B7" t="s">
        <v>21</v>
      </c>
      <c r="C7" t="s">
        <v>41</v>
      </c>
      <c r="D7" t="s">
        <v>23</v>
      </c>
      <c r="E7" t="b">
        <f>IF(D7=(_xlfn.XLOOKUP(RISE_lawyers!$A7, All!$A$2:$A$158,All!H$2:H$158)), TRUE, FALSE)</f>
        <v>1</v>
      </c>
      <c r="F7" t="s">
        <v>24</v>
      </c>
      <c r="G7" t="b">
        <f>IF(F7=(_xlfn.XLOOKUP(RISE_lawyers!$A7, All!$A$2:$A$158,All!G$2:G$158)), TRUE, FALSE)</f>
        <v>1</v>
      </c>
      <c r="H7" t="s">
        <v>42</v>
      </c>
      <c r="J7" t="s">
        <v>992</v>
      </c>
    </row>
    <row r="8" spans="1:10" ht="15" customHeight="1" x14ac:dyDescent="0.35">
      <c r="A8" t="s">
        <v>43</v>
      </c>
      <c r="B8" t="s">
        <v>21</v>
      </c>
      <c r="C8" t="s">
        <v>44</v>
      </c>
      <c r="D8" t="s">
        <v>23</v>
      </c>
      <c r="E8" t="b">
        <f>IF(D8=(_xlfn.XLOOKUP(RISE_lawyers!$A8, All!$A$2:$A$158,All!H$2:H$158)), TRUE, FALSE)</f>
        <v>1</v>
      </c>
      <c r="F8" t="s">
        <v>24</v>
      </c>
      <c r="G8" t="b">
        <f>IF(F8=(_xlfn.XLOOKUP(RISE_lawyers!$A8, All!$A$2:$A$158,All!G$2:G$158)), TRUE, FALSE)</f>
        <v>1</v>
      </c>
      <c r="H8" t="s">
        <v>36</v>
      </c>
      <c r="J8" t="s">
        <v>992</v>
      </c>
    </row>
    <row r="9" spans="1:10" ht="15" customHeight="1" x14ac:dyDescent="0.35">
      <c r="A9" t="s">
        <v>45</v>
      </c>
      <c r="B9" t="s">
        <v>21</v>
      </c>
      <c r="C9" t="s">
        <v>46</v>
      </c>
      <c r="D9" t="s">
        <v>47</v>
      </c>
      <c r="E9" t="b">
        <f>IF(D9=(_xlfn.XLOOKUP(RISE_lawyers!$A9, All!$A$2:$A$158,All!H$2:H$158)), TRUE, FALSE)</f>
        <v>1</v>
      </c>
      <c r="F9" t="s">
        <v>39</v>
      </c>
      <c r="G9" t="b">
        <f>IF(F9=(_xlfn.XLOOKUP(RISE_lawyers!$A9, All!$A$2:$A$158,All!G$2:G$158)), TRUE, FALSE)</f>
        <v>1</v>
      </c>
      <c r="H9" t="s">
        <v>48</v>
      </c>
      <c r="J9" t="s">
        <v>998</v>
      </c>
    </row>
    <row r="10" spans="1:10" ht="15" customHeight="1" x14ac:dyDescent="0.35">
      <c r="A10" t="s">
        <v>49</v>
      </c>
      <c r="B10" t="s">
        <v>21</v>
      </c>
      <c r="C10" t="s">
        <v>50</v>
      </c>
      <c r="D10" t="s">
        <v>23</v>
      </c>
      <c r="E10" t="b">
        <f>IF(D10=(_xlfn.XLOOKUP(RISE_lawyers!$A10, All!$A$2:$A$158,All!H$2:H$158)), TRUE, FALSE)</f>
        <v>1</v>
      </c>
      <c r="F10" t="s">
        <v>24</v>
      </c>
      <c r="G10" t="b">
        <f>IF(F10=(_xlfn.XLOOKUP(RISE_lawyers!$A10, All!$A$2:$A$158,All!G$2:G$158)), TRUE, FALSE)</f>
        <v>1</v>
      </c>
      <c r="H10" t="s">
        <v>48</v>
      </c>
      <c r="J10" t="s">
        <v>992</v>
      </c>
    </row>
    <row r="11" spans="1:10" ht="15" customHeight="1" x14ac:dyDescent="0.35">
      <c r="A11" t="s">
        <v>51</v>
      </c>
      <c r="B11" t="s">
        <v>21</v>
      </c>
      <c r="C11" t="s">
        <v>52</v>
      </c>
      <c r="D11" t="s">
        <v>23</v>
      </c>
      <c r="E11" t="b">
        <f>IF(D11=(_xlfn.XLOOKUP(RISE_lawyers!$A11, All!$A$2:$A$158,All!H$2:H$158)), TRUE, FALSE)</f>
        <v>1</v>
      </c>
      <c r="F11" t="s">
        <v>24</v>
      </c>
      <c r="G11" t="b">
        <f>IF(F11=(_xlfn.XLOOKUP(RISE_lawyers!$A11, All!$A$2:$A$158,All!G$2:G$158)), TRUE, FALSE)</f>
        <v>1</v>
      </c>
      <c r="H11" t="s">
        <v>33</v>
      </c>
      <c r="J11" t="s">
        <v>992</v>
      </c>
    </row>
    <row r="12" spans="1:10" ht="15" customHeight="1" x14ac:dyDescent="0.35">
      <c r="A12" t="s">
        <v>53</v>
      </c>
      <c r="B12" t="s">
        <v>21</v>
      </c>
      <c r="C12" t="s">
        <v>54</v>
      </c>
      <c r="D12" t="s">
        <v>23</v>
      </c>
      <c r="E12" t="b">
        <f>IF(D12=(_xlfn.XLOOKUP(RISE_lawyers!$A12, All!$A$2:$A$158,All!H$2:H$158)), TRUE, FALSE)</f>
        <v>1</v>
      </c>
      <c r="F12" t="s">
        <v>39</v>
      </c>
      <c r="G12" t="b">
        <f>IF(F12=(_xlfn.XLOOKUP(RISE_lawyers!$A12, All!$A$2:$A$158,All!G$2:G$158)), TRUE, FALSE)</f>
        <v>1</v>
      </c>
      <c r="H12" t="s">
        <v>25</v>
      </c>
      <c r="J12" t="s">
        <v>992</v>
      </c>
    </row>
    <row r="13" spans="1:10" ht="15" customHeight="1" x14ac:dyDescent="0.35">
      <c r="A13" t="s">
        <v>55</v>
      </c>
      <c r="B13" t="s">
        <v>21</v>
      </c>
      <c r="C13" t="s">
        <v>56</v>
      </c>
      <c r="D13" t="s">
        <v>931</v>
      </c>
      <c r="E13" t="b">
        <f>IF(D13=(_xlfn.XLOOKUP(RISE_lawyers!$A13, All!$A$2:$A$158,All!H$2:H$158)), TRUE, FALSE)</f>
        <v>1</v>
      </c>
      <c r="F13" t="s">
        <v>57</v>
      </c>
      <c r="G13" t="b">
        <f>IF(F13=(_xlfn.XLOOKUP(RISE_lawyers!$A13, All!$A$2:$A$158,All!G$2:G$158)), TRUE, FALSE)</f>
        <v>1</v>
      </c>
      <c r="H13" t="s">
        <v>48</v>
      </c>
      <c r="J13" t="s">
        <v>1000</v>
      </c>
    </row>
    <row r="14" spans="1:10" ht="15" customHeight="1" x14ac:dyDescent="0.35">
      <c r="A14" t="s">
        <v>58</v>
      </c>
      <c r="B14" t="s">
        <v>21</v>
      </c>
      <c r="C14" t="s">
        <v>59</v>
      </c>
      <c r="D14" t="s">
        <v>23</v>
      </c>
      <c r="E14" t="b">
        <f>IF(D14=(_xlfn.XLOOKUP(RISE_lawyers!$A14, All!$A$2:$A$158,All!H$2:H$158)), TRUE, FALSE)</f>
        <v>1</v>
      </c>
      <c r="F14" t="s">
        <v>24</v>
      </c>
      <c r="G14" t="b">
        <f>IF(F14=(_xlfn.XLOOKUP(RISE_lawyers!$A14, All!$A$2:$A$158,All!G$2:G$158)), TRUE, FALSE)</f>
        <v>1</v>
      </c>
      <c r="H14" t="s">
        <v>48</v>
      </c>
      <c r="J14" t="s">
        <v>992</v>
      </c>
    </row>
    <row r="15" spans="1:10" ht="15" customHeight="1" x14ac:dyDescent="0.35">
      <c r="A15" t="s">
        <v>61</v>
      </c>
      <c r="B15" t="s">
        <v>21</v>
      </c>
      <c r="C15" t="s">
        <v>62</v>
      </c>
      <c r="D15" t="s">
        <v>63</v>
      </c>
      <c r="E15" t="b">
        <f>IF(D15=(_xlfn.XLOOKUP(RISE_lawyers!$A15, All!$A$2:$A$158,All!H$2:H$158)), TRUE, FALSE)</f>
        <v>1</v>
      </c>
      <c r="F15" t="s">
        <v>24</v>
      </c>
      <c r="G15" t="b">
        <f>IF(F15=(_xlfn.XLOOKUP(RISE_lawyers!$A15, All!$A$2:$A$158,All!G$2:G$158)), TRUE, FALSE)</f>
        <v>1</v>
      </c>
      <c r="H15" t="s">
        <v>64</v>
      </c>
      <c r="J15" t="s">
        <v>992</v>
      </c>
    </row>
    <row r="16" spans="1:10" ht="15" customHeight="1" x14ac:dyDescent="0.35">
      <c r="A16" t="s">
        <v>65</v>
      </c>
      <c r="B16" t="s">
        <v>21</v>
      </c>
      <c r="C16" t="s">
        <v>66</v>
      </c>
      <c r="D16" t="s">
        <v>67</v>
      </c>
      <c r="E16" t="b">
        <f>IF(D16=(_xlfn.XLOOKUP(RISE_lawyers!$A16, All!$A$2:$A$158,All!H$2:H$158)), TRUE, FALSE)</f>
        <v>1</v>
      </c>
      <c r="F16" t="s">
        <v>39</v>
      </c>
      <c r="G16" t="b">
        <f>IF(F16=(_xlfn.XLOOKUP(RISE_lawyers!$A16, All!$A$2:$A$158,All!G$2:G$158)), TRUE, FALSE)</f>
        <v>1</v>
      </c>
      <c r="H16" t="s">
        <v>68</v>
      </c>
      <c r="J16" t="s">
        <v>992</v>
      </c>
    </row>
    <row r="17" spans="1:11" ht="15" customHeight="1" x14ac:dyDescent="0.35">
      <c r="A17" t="s">
        <v>69</v>
      </c>
      <c r="B17" t="s">
        <v>21</v>
      </c>
      <c r="C17" t="s">
        <v>70</v>
      </c>
      <c r="D17" t="s">
        <v>23</v>
      </c>
      <c r="E17" t="b">
        <f>IF(D17=(_xlfn.XLOOKUP(RISE_lawyers!$A17, All!$A$2:$A$158,All!H$2:H$158)), TRUE, FALSE)</f>
        <v>1</v>
      </c>
      <c r="F17" t="s">
        <v>39</v>
      </c>
      <c r="G17" t="b">
        <f>IF(F17=(_xlfn.XLOOKUP(RISE_lawyers!$A17, All!$A$2:$A$158,All!G$2:G$158)), TRUE, FALSE)</f>
        <v>1</v>
      </c>
      <c r="H17" t="s">
        <v>33</v>
      </c>
      <c r="J17" t="s">
        <v>992</v>
      </c>
    </row>
    <row r="18" spans="1:11" ht="15" customHeight="1" x14ac:dyDescent="0.35">
      <c r="A18" t="s">
        <v>71</v>
      </c>
      <c r="B18" t="s">
        <v>21</v>
      </c>
      <c r="C18" t="s">
        <v>72</v>
      </c>
      <c r="D18" t="s">
        <v>23</v>
      </c>
      <c r="E18" t="b">
        <f>IF(D18=(_xlfn.XLOOKUP(RISE_lawyers!$A18, All!$A$2:$A$158,All!H$2:H$158)), TRUE, FALSE)</f>
        <v>1</v>
      </c>
      <c r="F18" t="s">
        <v>39</v>
      </c>
      <c r="G18" t="b">
        <f>IF(F18=(_xlfn.XLOOKUP(RISE_lawyers!$A18, All!$A$2:$A$158,All!G$2:G$158)), TRUE, FALSE)</f>
        <v>1</v>
      </c>
      <c r="H18" t="s">
        <v>73</v>
      </c>
      <c r="J18" t="s">
        <v>992</v>
      </c>
    </row>
    <row r="19" spans="1:11" ht="15" customHeight="1" x14ac:dyDescent="0.35">
      <c r="A19" t="s">
        <v>74</v>
      </c>
      <c r="B19" t="s">
        <v>21</v>
      </c>
      <c r="C19" t="s">
        <v>75</v>
      </c>
      <c r="D19" t="s">
        <v>60</v>
      </c>
      <c r="E19" t="b">
        <f>IF(D19=(_xlfn.XLOOKUP(RISE_lawyers!$A19, All!$A$2:$A$158,All!H$2:H$158)), TRUE, FALSE)</f>
        <v>1</v>
      </c>
      <c r="F19" t="s">
        <v>39</v>
      </c>
      <c r="G19" t="b">
        <f>IF(F19=(_xlfn.XLOOKUP(RISE_lawyers!$A19, All!$A$2:$A$158,All!G$2:G$158)), TRUE, FALSE)</f>
        <v>1</v>
      </c>
      <c r="H19" t="s">
        <v>73</v>
      </c>
      <c r="J19" t="s">
        <v>992</v>
      </c>
    </row>
    <row r="20" spans="1:11" ht="15" customHeight="1" x14ac:dyDescent="0.35">
      <c r="A20" t="s">
        <v>76</v>
      </c>
      <c r="B20" t="s">
        <v>21</v>
      </c>
      <c r="C20" t="s">
        <v>77</v>
      </c>
      <c r="D20" t="s">
        <v>78</v>
      </c>
      <c r="E20" t="b">
        <f>IF(D20=(_xlfn.XLOOKUP(RISE_lawyers!$A20, All!$A$2:$A$158,All!H$2:H$158)), TRUE, FALSE)</f>
        <v>1</v>
      </c>
      <c r="F20" t="s">
        <v>39</v>
      </c>
      <c r="G20" t="b">
        <f>IF(F20=(_xlfn.XLOOKUP(RISE_lawyers!$A20, All!$A$2:$A$158,All!G$2:G$158)), TRUE, FALSE)</f>
        <v>1</v>
      </c>
      <c r="H20" t="s">
        <v>79</v>
      </c>
      <c r="J20" t="s">
        <v>992</v>
      </c>
      <c r="K20" t="s">
        <v>999</v>
      </c>
    </row>
    <row r="21" spans="1:11" ht="15" customHeight="1" x14ac:dyDescent="0.35">
      <c r="A21" t="s">
        <v>80</v>
      </c>
      <c r="B21" t="s">
        <v>21</v>
      </c>
      <c r="C21" t="s">
        <v>81</v>
      </c>
      <c r="D21" t="s">
        <v>23</v>
      </c>
      <c r="E21" t="b">
        <f>IF(D21=(_xlfn.XLOOKUP(RISE_lawyers!$A21, All!$A$2:$A$158,All!H$2:H$158)), TRUE, FALSE)</f>
        <v>1</v>
      </c>
      <c r="F21" t="s">
        <v>24</v>
      </c>
      <c r="G21" t="b">
        <f>IF(F21=(_xlfn.XLOOKUP(RISE_lawyers!$A21, All!$A$2:$A$158,All!G$2:G$158)), TRUE, FALSE)</f>
        <v>1</v>
      </c>
      <c r="H21" t="s">
        <v>25</v>
      </c>
      <c r="J21" t="s">
        <v>992</v>
      </c>
    </row>
    <row r="22" spans="1:11" ht="15" customHeight="1" x14ac:dyDescent="0.35">
      <c r="A22" t="s">
        <v>82</v>
      </c>
      <c r="B22" t="s">
        <v>21</v>
      </c>
      <c r="C22" t="s">
        <v>83</v>
      </c>
      <c r="D22" t="s">
        <v>84</v>
      </c>
      <c r="E22" t="b">
        <f>IF(D22=(_xlfn.XLOOKUP(RISE_lawyers!$A22, All!$A$2:$A$158,All!H$2:H$158)), TRUE, FALSE)</f>
        <v>1</v>
      </c>
      <c r="F22" t="s">
        <v>39</v>
      </c>
      <c r="G22" t="b">
        <f>IF(F22=(_xlfn.XLOOKUP(RISE_lawyers!$A22, All!$A$2:$A$158,All!G$2:G$158)), TRUE, FALSE)</f>
        <v>1</v>
      </c>
      <c r="H22" t="s">
        <v>48</v>
      </c>
      <c r="J22" t="s">
        <v>992</v>
      </c>
    </row>
    <row r="23" spans="1:11" ht="15" customHeight="1" x14ac:dyDescent="0.35">
      <c r="A23" t="s">
        <v>85</v>
      </c>
      <c r="B23" t="s">
        <v>21</v>
      </c>
      <c r="C23" t="s">
        <v>86</v>
      </c>
      <c r="D23" t="s">
        <v>23</v>
      </c>
      <c r="E23" t="b">
        <f>IF(D23=(_xlfn.XLOOKUP(RISE_lawyers!$A23, All!$A$2:$A$158,All!H$2:H$158)), TRUE, FALSE)</f>
        <v>1</v>
      </c>
      <c r="F23" t="s">
        <v>24</v>
      </c>
      <c r="G23" t="b">
        <f>IF(F23=(_xlfn.XLOOKUP(RISE_lawyers!$A23, All!$A$2:$A$158,All!G$2:G$158)), TRUE, FALSE)</f>
        <v>1</v>
      </c>
      <c r="H23" t="s">
        <v>33</v>
      </c>
      <c r="J23" t="s">
        <v>997</v>
      </c>
    </row>
    <row r="24" spans="1:11" ht="15" customHeight="1" x14ac:dyDescent="0.35">
      <c r="A24" t="s">
        <v>87</v>
      </c>
      <c r="B24" t="s">
        <v>21</v>
      </c>
      <c r="C24" t="s">
        <v>88</v>
      </c>
      <c r="D24" t="s">
        <v>23</v>
      </c>
      <c r="E24" t="b">
        <f>IF(D24=(_xlfn.XLOOKUP(RISE_lawyers!$A24, All!$A$2:$A$158,All!H$2:H$158)), TRUE, FALSE)</f>
        <v>1</v>
      </c>
      <c r="F24" t="s">
        <v>24</v>
      </c>
      <c r="G24" t="b">
        <f>IF(F24=(_xlfn.XLOOKUP(RISE_lawyers!$A24, All!$A$2:$A$158,All!G$2:G$158)), TRUE, FALSE)</f>
        <v>1</v>
      </c>
      <c r="H24" t="s">
        <v>36</v>
      </c>
      <c r="J24" t="s">
        <v>992</v>
      </c>
    </row>
    <row r="25" spans="1:11" ht="15" customHeight="1" x14ac:dyDescent="0.35">
      <c r="A25" t="s">
        <v>89</v>
      </c>
      <c r="B25" t="s">
        <v>21</v>
      </c>
      <c r="C25" t="s">
        <v>90</v>
      </c>
      <c r="D25" t="s">
        <v>23</v>
      </c>
      <c r="E25" t="b">
        <f>IF(D25=(_xlfn.XLOOKUP(RISE_lawyers!$A25, All!$A$2:$A$158,All!H$2:H$158)), TRUE, FALSE)</f>
        <v>1</v>
      </c>
      <c r="F25" t="s">
        <v>39</v>
      </c>
      <c r="G25" t="b">
        <f>IF(F25=(_xlfn.XLOOKUP(RISE_lawyers!$A25, All!$A$2:$A$158,All!G$2:G$158)), TRUE, FALSE)</f>
        <v>1</v>
      </c>
      <c r="H25" t="s">
        <v>91</v>
      </c>
      <c r="J25" t="s">
        <v>1001</v>
      </c>
    </row>
    <row r="26" spans="1:11" ht="15" customHeight="1" x14ac:dyDescent="0.35">
      <c r="A26" t="s">
        <v>92</v>
      </c>
      <c r="B26" t="s">
        <v>21</v>
      </c>
      <c r="C26" t="s">
        <v>93</v>
      </c>
      <c r="D26" t="s">
        <v>23</v>
      </c>
      <c r="E26" t="b">
        <f>IF(D26=(_xlfn.XLOOKUP(RISE_lawyers!$A26, All!$A$2:$A$158,All!H$2:H$158)), TRUE, FALSE)</f>
        <v>1</v>
      </c>
      <c r="F26" t="s">
        <v>24</v>
      </c>
      <c r="G26" t="b">
        <f>IF(F26=(_xlfn.XLOOKUP(RISE_lawyers!$A26, All!$A$2:$A$158,All!G$2:G$158)), TRUE, FALSE)</f>
        <v>1</v>
      </c>
      <c r="H26" t="s">
        <v>94</v>
      </c>
      <c r="J26" t="s">
        <v>1002</v>
      </c>
    </row>
    <row r="27" spans="1:11" ht="15" customHeight="1" x14ac:dyDescent="0.35">
      <c r="A27" t="s">
        <v>95</v>
      </c>
      <c r="B27" t="s">
        <v>21</v>
      </c>
      <c r="C27" t="s">
        <v>96</v>
      </c>
      <c r="D27" t="s">
        <v>23</v>
      </c>
      <c r="E27" t="b">
        <f>IF(D27=(_xlfn.XLOOKUP(RISE_lawyers!$A27, All!$A$2:$A$158,All!H$2:H$158)), TRUE, FALSE)</f>
        <v>1</v>
      </c>
      <c r="F27" t="s">
        <v>24</v>
      </c>
      <c r="G27" t="b">
        <f>IF(F27=(_xlfn.XLOOKUP(RISE_lawyers!$A27, All!$A$2:$A$158,All!G$2:G$158)), TRUE, FALSE)</f>
        <v>1</v>
      </c>
      <c r="H27" t="s">
        <v>97</v>
      </c>
      <c r="J27" t="s">
        <v>992</v>
      </c>
    </row>
    <row r="28" spans="1:11" ht="15" customHeight="1" x14ac:dyDescent="0.35">
      <c r="A28" t="s">
        <v>98</v>
      </c>
      <c r="B28" t="s">
        <v>21</v>
      </c>
      <c r="C28" t="s">
        <v>99</v>
      </c>
      <c r="D28" t="s">
        <v>23</v>
      </c>
      <c r="E28" t="b">
        <f>IF(D28=(_xlfn.XLOOKUP(RISE_lawyers!$A28, All!$A$2:$A$158,All!H$2:H$158)), TRUE, FALSE)</f>
        <v>1</v>
      </c>
      <c r="F28" t="s">
        <v>24</v>
      </c>
      <c r="G28" t="b">
        <f>IF(F28=(_xlfn.XLOOKUP(RISE_lawyers!$A28, All!$A$2:$A$158,All!G$2:G$158)), TRUE, FALSE)</f>
        <v>1</v>
      </c>
      <c r="H28" t="s">
        <v>33</v>
      </c>
      <c r="J28" t="s">
        <v>992</v>
      </c>
    </row>
    <row r="29" spans="1:11" ht="15" customHeight="1" x14ac:dyDescent="0.35">
      <c r="A29" t="s">
        <v>100</v>
      </c>
      <c r="B29" t="s">
        <v>21</v>
      </c>
      <c r="C29" t="s">
        <v>101</v>
      </c>
      <c r="D29" t="s">
        <v>60</v>
      </c>
      <c r="E29" t="b">
        <f>IF(D29=(_xlfn.XLOOKUP(RISE_lawyers!$A29, All!$A$2:$A$158,All!H$2:H$158)), TRUE, FALSE)</f>
        <v>1</v>
      </c>
      <c r="F29" t="s">
        <v>24</v>
      </c>
      <c r="G29" t="b">
        <f>IF(F29=(_xlfn.XLOOKUP(RISE_lawyers!$A29, All!$A$2:$A$158,All!G$2:G$158)), TRUE, FALSE)</f>
        <v>1</v>
      </c>
      <c r="H29" t="s">
        <v>73</v>
      </c>
      <c r="J29" t="s">
        <v>992</v>
      </c>
    </row>
    <row r="30" spans="1:11" ht="15" customHeight="1" x14ac:dyDescent="0.35">
      <c r="A30" t="s">
        <v>102</v>
      </c>
      <c r="B30" t="s">
        <v>21</v>
      </c>
      <c r="C30" t="s">
        <v>103</v>
      </c>
      <c r="D30" t="s">
        <v>67</v>
      </c>
      <c r="E30" t="b">
        <f>IF(D30=(_xlfn.XLOOKUP(RISE_lawyers!$A30, All!$A$2:$A$158,All!H$2:H$158)), TRUE, FALSE)</f>
        <v>1</v>
      </c>
      <c r="F30" t="s">
        <v>39</v>
      </c>
      <c r="G30" t="b">
        <f>IF(F30=(_xlfn.XLOOKUP(RISE_lawyers!$A30, All!$A$2:$A$158,All!G$2:G$158)), TRUE, FALSE)</f>
        <v>1</v>
      </c>
      <c r="H30" t="s">
        <v>104</v>
      </c>
      <c r="J30" t="s">
        <v>992</v>
      </c>
    </row>
    <row r="31" spans="1:11" ht="15" customHeight="1" x14ac:dyDescent="0.35">
      <c r="A31" t="s">
        <v>105</v>
      </c>
      <c r="B31" t="s">
        <v>21</v>
      </c>
      <c r="C31" t="s">
        <v>106</v>
      </c>
      <c r="D31" t="s">
        <v>107</v>
      </c>
      <c r="E31" t="b">
        <f>IF(D31=(_xlfn.XLOOKUP(RISE_lawyers!$A31, All!$A$2:$A$158,All!H$2:H$158)), TRUE, FALSE)</f>
        <v>1</v>
      </c>
      <c r="F31" t="s">
        <v>24</v>
      </c>
      <c r="G31" t="b">
        <f>IF(F31=(_xlfn.XLOOKUP(RISE_lawyers!$A31, All!$A$2:$A$158,All!G$2:G$158)), TRUE, FALSE)</f>
        <v>1</v>
      </c>
      <c r="H31" t="s">
        <v>64</v>
      </c>
      <c r="J31" t="s">
        <v>1003</v>
      </c>
    </row>
    <row r="32" spans="1:11" ht="15" customHeight="1" x14ac:dyDescent="0.35">
      <c r="A32" t="s">
        <v>109</v>
      </c>
      <c r="B32" t="s">
        <v>110</v>
      </c>
      <c r="C32" t="s">
        <v>111</v>
      </c>
      <c r="D32" t="s">
        <v>23</v>
      </c>
      <c r="E32" t="b">
        <f>IF(D32=(_xlfn.XLOOKUP(RISE_lawyers!$A32, All!$A$2:$A$158,All!H$2:H$158)), TRUE, FALSE)</f>
        <v>1</v>
      </c>
      <c r="F32" t="s">
        <v>39</v>
      </c>
      <c r="G32" t="b">
        <f>IF(F32=(_xlfn.XLOOKUP(RISE_lawyers!$A32, All!$A$2:$A$158,All!G$2:G$158)), TRUE, FALSE)</f>
        <v>1</v>
      </c>
      <c r="H32" t="s">
        <v>33</v>
      </c>
      <c r="J32" t="s">
        <v>992</v>
      </c>
    </row>
    <row r="33" spans="1:10" ht="15" customHeight="1" x14ac:dyDescent="0.35">
      <c r="A33" t="s">
        <v>112</v>
      </c>
      <c r="B33" t="s">
        <v>110</v>
      </c>
      <c r="C33" t="s">
        <v>113</v>
      </c>
      <c r="D33" t="s">
        <v>23</v>
      </c>
      <c r="E33" t="b">
        <f>IF(D33=(_xlfn.XLOOKUP(RISE_lawyers!$A33, All!$A$2:$A$158,All!H$2:H$158)), TRUE, FALSE)</f>
        <v>1</v>
      </c>
      <c r="F33" t="s">
        <v>39</v>
      </c>
      <c r="G33" t="b">
        <f>IF(F33=(_xlfn.XLOOKUP(RISE_lawyers!$A33, All!$A$2:$A$158,All!G$2:G$158)), TRUE, FALSE)</f>
        <v>1</v>
      </c>
      <c r="H33" t="s">
        <v>25</v>
      </c>
      <c r="J33" t="s">
        <v>992</v>
      </c>
    </row>
    <row r="34" spans="1:10" ht="15" customHeight="1" x14ac:dyDescent="0.35">
      <c r="A34" t="s">
        <v>114</v>
      </c>
      <c r="B34" t="s">
        <v>110</v>
      </c>
      <c r="C34" t="s">
        <v>115</v>
      </c>
      <c r="D34" t="s">
        <v>63</v>
      </c>
      <c r="E34" t="b">
        <f>IF(D34=(_xlfn.XLOOKUP(RISE_lawyers!$A34, All!$A$2:$A$158,All!H$2:H$158)), TRUE, FALSE)</f>
        <v>1</v>
      </c>
      <c r="F34" t="s">
        <v>39</v>
      </c>
      <c r="G34" t="b">
        <f>IF(F34=(_xlfn.XLOOKUP(RISE_lawyers!$A34, All!$A$2:$A$158,All!G$2:G$158)), TRUE, FALSE)</f>
        <v>1</v>
      </c>
      <c r="H34" t="s">
        <v>116</v>
      </c>
      <c r="J34" t="s">
        <v>992</v>
      </c>
    </row>
    <row r="35" spans="1:10" ht="15" customHeight="1" x14ac:dyDescent="0.35">
      <c r="A35" t="s">
        <v>117</v>
      </c>
      <c r="B35" t="s">
        <v>110</v>
      </c>
      <c r="C35" t="s">
        <v>118</v>
      </c>
      <c r="D35" t="s">
        <v>23</v>
      </c>
      <c r="E35" t="b">
        <f>IF(D35=(_xlfn.XLOOKUP(RISE_lawyers!$A35, All!$A$2:$A$158,All!H$2:H$158)), TRUE, FALSE)</f>
        <v>1</v>
      </c>
      <c r="F35" t="s">
        <v>39</v>
      </c>
      <c r="G35" t="b">
        <f>IF(F35=(_xlfn.XLOOKUP(RISE_lawyers!$A35, All!$A$2:$A$158,All!G$2:G$158)), TRUE, FALSE)</f>
        <v>1</v>
      </c>
      <c r="H35" t="s">
        <v>119</v>
      </c>
      <c r="J35" t="s">
        <v>992</v>
      </c>
    </row>
    <row r="36" spans="1:10" ht="15" customHeight="1" x14ac:dyDescent="0.35">
      <c r="A36" t="s">
        <v>120</v>
      </c>
      <c r="B36" t="s">
        <v>110</v>
      </c>
      <c r="C36" t="s">
        <v>121</v>
      </c>
      <c r="D36" t="s">
        <v>23</v>
      </c>
      <c r="E36" t="b">
        <f>IF(D36=(_xlfn.XLOOKUP(RISE_lawyers!$A36, All!$A$2:$A$158,All!H$2:H$158)), TRUE, FALSE)</f>
        <v>1</v>
      </c>
      <c r="F36" t="s">
        <v>39</v>
      </c>
      <c r="G36" t="b">
        <f>IF(F36=(_xlfn.XLOOKUP(RISE_lawyers!$A36, All!$A$2:$A$158,All!G$2:G$158)), TRUE, FALSE)</f>
        <v>1</v>
      </c>
      <c r="H36" t="s">
        <v>119</v>
      </c>
      <c r="J36" t="s">
        <v>992</v>
      </c>
    </row>
    <row r="37" spans="1:10" ht="15" customHeight="1" x14ac:dyDescent="0.35">
      <c r="A37" t="s">
        <v>122</v>
      </c>
      <c r="B37" t="s">
        <v>110</v>
      </c>
      <c r="C37" t="s">
        <v>123</v>
      </c>
      <c r="D37" t="s">
        <v>23</v>
      </c>
      <c r="E37" t="b">
        <f>IF(D37=(_xlfn.XLOOKUP(RISE_lawyers!$A37, All!$A$2:$A$158,All!H$2:H$158)), TRUE, FALSE)</f>
        <v>1</v>
      </c>
      <c r="F37" t="s">
        <v>39</v>
      </c>
      <c r="G37" t="b">
        <f>IF(F37=(_xlfn.XLOOKUP(RISE_lawyers!$A37, All!$A$2:$A$158,All!G$2:G$158)), TRUE, FALSE)</f>
        <v>1</v>
      </c>
      <c r="H37" t="s">
        <v>124</v>
      </c>
      <c r="J37" t="s">
        <v>992</v>
      </c>
    </row>
    <row r="38" spans="1:10" ht="15" customHeight="1" x14ac:dyDescent="0.35">
      <c r="A38" t="s">
        <v>125</v>
      </c>
      <c r="B38" t="s">
        <v>110</v>
      </c>
      <c r="C38" t="s">
        <v>126</v>
      </c>
      <c r="D38" t="s">
        <v>23</v>
      </c>
      <c r="E38" t="b">
        <f>IF(D38=(_xlfn.XLOOKUP(RISE_lawyers!$A38, All!$A$2:$A$158,All!H$2:H$158)), TRUE, FALSE)</f>
        <v>1</v>
      </c>
      <c r="F38" t="s">
        <v>24</v>
      </c>
      <c r="G38" t="b">
        <f>IF(F38=(_xlfn.XLOOKUP(RISE_lawyers!$A38, All!$A$2:$A$158,All!G$2:G$158)), TRUE, FALSE)</f>
        <v>1</v>
      </c>
      <c r="H38" t="s">
        <v>36</v>
      </c>
      <c r="J38" t="s">
        <v>992</v>
      </c>
    </row>
    <row r="39" spans="1:10" ht="15" customHeight="1" x14ac:dyDescent="0.35">
      <c r="A39" t="s">
        <v>127</v>
      </c>
      <c r="B39" t="s">
        <v>110</v>
      </c>
      <c r="C39" t="s">
        <v>128</v>
      </c>
      <c r="D39" t="s">
        <v>23</v>
      </c>
      <c r="E39" t="b">
        <f>IF(D39=(_xlfn.XLOOKUP(RISE_lawyers!$A39, All!$A$2:$A$158,All!H$2:H$158)), TRUE, FALSE)</f>
        <v>1</v>
      </c>
      <c r="F39" t="s">
        <v>39</v>
      </c>
      <c r="G39" t="b">
        <f>IF(F39=(_xlfn.XLOOKUP(RISE_lawyers!$A39, All!$A$2:$A$158,All!G$2:G$158)), TRUE, FALSE)</f>
        <v>1</v>
      </c>
      <c r="H39" t="s">
        <v>42</v>
      </c>
      <c r="J39" t="s">
        <v>1004</v>
      </c>
    </row>
    <row r="40" spans="1:10" ht="15" customHeight="1" x14ac:dyDescent="0.35">
      <c r="A40" t="s">
        <v>129</v>
      </c>
      <c r="B40" t="s">
        <v>130</v>
      </c>
      <c r="C40" t="s">
        <v>131</v>
      </c>
      <c r="D40" t="s">
        <v>23</v>
      </c>
      <c r="E40" t="b">
        <f>IF(D40=(_xlfn.XLOOKUP(RISE_lawyers!$A40, All!$A$2:$A$158,All!H$2:H$158)), TRUE, FALSE)</f>
        <v>1</v>
      </c>
      <c r="F40" t="s">
        <v>39</v>
      </c>
      <c r="G40" t="b">
        <f>IF(F40=(_xlfn.XLOOKUP(RISE_lawyers!$A40, All!$A$2:$A$158,All!G$2:G$158)), TRUE, FALSE)</f>
        <v>1</v>
      </c>
      <c r="H40" t="s">
        <v>48</v>
      </c>
      <c r="J40" t="s">
        <v>1007</v>
      </c>
    </row>
    <row r="41" spans="1:10" ht="15" customHeight="1" x14ac:dyDescent="0.35">
      <c r="A41" t="s">
        <v>132</v>
      </c>
      <c r="B41" t="s">
        <v>130</v>
      </c>
      <c r="C41" t="s">
        <v>133</v>
      </c>
      <c r="D41" t="s">
        <v>23</v>
      </c>
      <c r="E41" t="b">
        <f>IF(D41=(_xlfn.XLOOKUP(RISE_lawyers!$A41, All!$A$2:$A$158,All!H$2:H$158)), TRUE, FALSE)</f>
        <v>1</v>
      </c>
      <c r="F41" t="s">
        <v>39</v>
      </c>
      <c r="G41" t="b">
        <f>IF(F41=(_xlfn.XLOOKUP(RISE_lawyers!$A41, All!$A$2:$A$158,All!G$2:G$158)), TRUE, FALSE)</f>
        <v>1</v>
      </c>
      <c r="H41" t="s">
        <v>48</v>
      </c>
      <c r="J41" t="s">
        <v>992</v>
      </c>
    </row>
    <row r="42" spans="1:10" ht="15" customHeight="1" x14ac:dyDescent="0.35">
      <c r="A42" t="s">
        <v>134</v>
      </c>
      <c r="B42" t="s">
        <v>135</v>
      </c>
      <c r="C42" t="s">
        <v>136</v>
      </c>
      <c r="D42" t="s">
        <v>23</v>
      </c>
      <c r="E42" t="b">
        <f>IF(D42=(_xlfn.XLOOKUP(RISE_lawyers!$A42, All!$A$2:$A$158,All!H$2:H$158)), TRUE, FALSE)</f>
        <v>1</v>
      </c>
      <c r="F42" t="s">
        <v>24</v>
      </c>
      <c r="G42" t="b">
        <f>IF(F42=(_xlfn.XLOOKUP(RISE_lawyers!$A42, All!$A$2:$A$158,All!G$2:G$158)), TRUE, FALSE)</f>
        <v>1</v>
      </c>
      <c r="H42" t="s">
        <v>48</v>
      </c>
      <c r="J42" t="s">
        <v>992</v>
      </c>
    </row>
    <row r="43" spans="1:10" ht="15" customHeight="1" x14ac:dyDescent="0.35">
      <c r="A43" t="s">
        <v>137</v>
      </c>
      <c r="B43" t="s">
        <v>135</v>
      </c>
      <c r="C43" t="s">
        <v>138</v>
      </c>
      <c r="D43" t="s">
        <v>23</v>
      </c>
      <c r="E43" t="b">
        <f>IF(D43=(_xlfn.XLOOKUP(RISE_lawyers!$A43, All!$A$2:$A$158,All!H$2:H$158)), TRUE, FALSE)</f>
        <v>1</v>
      </c>
      <c r="F43" t="s">
        <v>39</v>
      </c>
      <c r="G43" t="b">
        <f>IF(F43=(_xlfn.XLOOKUP(RISE_lawyers!$A43, All!$A$2:$A$158,All!G$2:G$158)), TRUE, FALSE)</f>
        <v>1</v>
      </c>
      <c r="H43" t="s">
        <v>25</v>
      </c>
      <c r="J43" t="s">
        <v>992</v>
      </c>
    </row>
    <row r="44" spans="1:10" ht="15" customHeight="1" x14ac:dyDescent="0.35">
      <c r="A44" t="s">
        <v>139</v>
      </c>
      <c r="B44" t="s">
        <v>135</v>
      </c>
      <c r="C44" t="s">
        <v>140</v>
      </c>
      <c r="D44" t="s">
        <v>23</v>
      </c>
      <c r="E44" t="b">
        <f>IF(D44=(_xlfn.XLOOKUP(RISE_lawyers!$A44, All!$A$2:$A$158,All!H$2:H$158)), TRUE, FALSE)</f>
        <v>1</v>
      </c>
      <c r="F44" t="s">
        <v>39</v>
      </c>
      <c r="G44" t="b">
        <f>IF(F44=(_xlfn.XLOOKUP(RISE_lawyers!$A44, All!$A$2:$A$158,All!G$2:G$158)), TRUE, FALSE)</f>
        <v>1</v>
      </c>
      <c r="H44" t="s">
        <v>25</v>
      </c>
      <c r="J44" t="s">
        <v>992</v>
      </c>
    </row>
    <row r="45" spans="1:10" ht="15" customHeight="1" x14ac:dyDescent="0.35">
      <c r="A45" t="s">
        <v>141</v>
      </c>
      <c r="B45" t="s">
        <v>135</v>
      </c>
      <c r="C45" t="s">
        <v>142</v>
      </c>
      <c r="D45" t="s">
        <v>23</v>
      </c>
      <c r="E45" t="b">
        <f>IF(D45=(_xlfn.XLOOKUP(RISE_lawyers!$A45, All!$A$2:$A$158,All!H$2:H$158)), TRUE, FALSE)</f>
        <v>1</v>
      </c>
      <c r="F45" t="s">
        <v>39</v>
      </c>
      <c r="G45" t="b">
        <f>IF(F45=(_xlfn.XLOOKUP(RISE_lawyers!$A45, All!$A$2:$A$158,All!G$2:G$158)), TRUE, FALSE)</f>
        <v>1</v>
      </c>
      <c r="H45" t="s">
        <v>119</v>
      </c>
      <c r="J45" t="s">
        <v>1013</v>
      </c>
    </row>
    <row r="46" spans="1:10" ht="15" customHeight="1" x14ac:dyDescent="0.35">
      <c r="A46" t="s">
        <v>143</v>
      </c>
      <c r="B46" t="s">
        <v>135</v>
      </c>
      <c r="C46" t="s">
        <v>144</v>
      </c>
      <c r="D46" t="s">
        <v>23</v>
      </c>
      <c r="E46" t="b">
        <f>IF(D46=(_xlfn.XLOOKUP(RISE_lawyers!$A46, All!$A$2:$A$158,All!H$2:H$158)), TRUE, FALSE)</f>
        <v>1</v>
      </c>
      <c r="F46" t="s">
        <v>24</v>
      </c>
      <c r="G46" t="b">
        <f>IF(F46=(_xlfn.XLOOKUP(RISE_lawyers!$A46, All!$A$2:$A$158,All!G$2:G$158)), TRUE, FALSE)</f>
        <v>1</v>
      </c>
      <c r="H46" t="s">
        <v>33</v>
      </c>
      <c r="J46" t="s">
        <v>992</v>
      </c>
    </row>
    <row r="47" spans="1:10" ht="15" customHeight="1" x14ac:dyDescent="0.35">
      <c r="A47" t="s">
        <v>145</v>
      </c>
      <c r="B47" t="s">
        <v>135</v>
      </c>
      <c r="C47" t="s">
        <v>146</v>
      </c>
      <c r="D47" t="s">
        <v>23</v>
      </c>
      <c r="E47" t="b">
        <f>IF(D47=(_xlfn.XLOOKUP(RISE_lawyers!$A47, All!$A$2:$A$158,All!H$2:H$158)), TRUE, FALSE)</f>
        <v>1</v>
      </c>
      <c r="F47" t="s">
        <v>24</v>
      </c>
      <c r="G47" t="b">
        <f>IF(F47=(_xlfn.XLOOKUP(RISE_lawyers!$A47, All!$A$2:$A$158,All!G$2:G$158)), TRUE, FALSE)</f>
        <v>1</v>
      </c>
      <c r="H47" t="s">
        <v>36</v>
      </c>
      <c r="J47" t="s">
        <v>992</v>
      </c>
    </row>
    <row r="48" spans="1:10" ht="15" customHeight="1" x14ac:dyDescent="0.35">
      <c r="A48" t="s">
        <v>147</v>
      </c>
      <c r="B48" t="s">
        <v>135</v>
      </c>
      <c r="C48" t="s">
        <v>148</v>
      </c>
      <c r="D48" t="s">
        <v>23</v>
      </c>
      <c r="E48" t="b">
        <f>IF(D48=(_xlfn.XLOOKUP(RISE_lawyers!$A48, All!$A$2:$A$158,All!H$2:H$158)), TRUE, FALSE)</f>
        <v>1</v>
      </c>
      <c r="F48" t="s">
        <v>24</v>
      </c>
      <c r="G48" t="b">
        <f>IF(F48=(_xlfn.XLOOKUP(RISE_lawyers!$A48, All!$A$2:$A$158,All!G$2:G$158)), TRUE, FALSE)</f>
        <v>1</v>
      </c>
      <c r="H48" t="s">
        <v>48</v>
      </c>
      <c r="J48" t="s">
        <v>992</v>
      </c>
    </row>
    <row r="49" spans="1:10" ht="15" customHeight="1" x14ac:dyDescent="0.35">
      <c r="A49" t="s">
        <v>149</v>
      </c>
      <c r="B49" t="s">
        <v>135</v>
      </c>
      <c r="C49" t="s">
        <v>150</v>
      </c>
      <c r="D49" t="s">
        <v>23</v>
      </c>
      <c r="E49" t="b">
        <f>IF(D49=(_xlfn.XLOOKUP(RISE_lawyers!$A49, All!$A$2:$A$158,All!H$2:H$158)), TRUE, FALSE)</f>
        <v>1</v>
      </c>
      <c r="F49" t="s">
        <v>39</v>
      </c>
      <c r="G49" t="b">
        <f>IF(F49=(_xlfn.XLOOKUP(RISE_lawyers!$A49, All!$A$2:$A$158,All!G$2:G$158)), TRUE, FALSE)</f>
        <v>1</v>
      </c>
      <c r="H49" t="s">
        <v>25</v>
      </c>
      <c r="J49" t="s">
        <v>992</v>
      </c>
    </row>
    <row r="50" spans="1:10" ht="15" customHeight="1" x14ac:dyDescent="0.35">
      <c r="A50" t="s">
        <v>151</v>
      </c>
      <c r="B50" t="s">
        <v>135</v>
      </c>
      <c r="C50" t="s">
        <v>152</v>
      </c>
      <c r="D50" t="s">
        <v>23</v>
      </c>
      <c r="E50" t="b">
        <f>IF(D50=(_xlfn.XLOOKUP(RISE_lawyers!$A50, All!$A$2:$A$158,All!H$2:H$158)), TRUE, FALSE)</f>
        <v>1</v>
      </c>
      <c r="F50" t="s">
        <v>39</v>
      </c>
      <c r="G50" t="b">
        <f>IF(F50=(_xlfn.XLOOKUP(RISE_lawyers!$A50, All!$A$2:$A$158,All!G$2:G$158)), TRUE, FALSE)</f>
        <v>1</v>
      </c>
      <c r="H50" t="s">
        <v>33</v>
      </c>
      <c r="J50" t="s">
        <v>992</v>
      </c>
    </row>
    <row r="51" spans="1:10" ht="15" customHeight="1" x14ac:dyDescent="0.35">
      <c r="A51" t="s">
        <v>153</v>
      </c>
      <c r="B51" t="s">
        <v>135</v>
      </c>
      <c r="C51" t="s">
        <v>154</v>
      </c>
      <c r="D51" t="s">
        <v>23</v>
      </c>
      <c r="E51" t="b">
        <f>IF(D51=(_xlfn.XLOOKUP(RISE_lawyers!$A51, All!$A$2:$A$158,All!H$2:H$158)), TRUE, FALSE)</f>
        <v>1</v>
      </c>
      <c r="F51" t="s">
        <v>39</v>
      </c>
      <c r="G51" t="b">
        <f>IF(F51=(_xlfn.XLOOKUP(RISE_lawyers!$A51, All!$A$2:$A$158,All!G$2:G$158)), TRUE, FALSE)</f>
        <v>1</v>
      </c>
      <c r="H51" t="s">
        <v>42</v>
      </c>
      <c r="J51" t="s">
        <v>992</v>
      </c>
    </row>
    <row r="52" spans="1:10" ht="15" customHeight="1" x14ac:dyDescent="0.35">
      <c r="A52" t="s">
        <v>155</v>
      </c>
      <c r="B52" t="s">
        <v>135</v>
      </c>
      <c r="C52" t="s">
        <v>156</v>
      </c>
      <c r="D52" t="s">
        <v>23</v>
      </c>
      <c r="E52" t="b">
        <f>IF(D52=(_xlfn.XLOOKUP(RISE_lawyers!$A52, All!$A$2:$A$158,All!H$2:H$158)), TRUE, FALSE)</f>
        <v>1</v>
      </c>
      <c r="F52" t="s">
        <v>39</v>
      </c>
      <c r="G52" t="b">
        <f>IF(F52=(_xlfn.XLOOKUP(RISE_lawyers!$A52, All!$A$2:$A$158,All!G$2:G$158)), TRUE, FALSE)</f>
        <v>1</v>
      </c>
      <c r="H52" t="s">
        <v>33</v>
      </c>
      <c r="J52" t="s">
        <v>1009</v>
      </c>
    </row>
    <row r="53" spans="1:10" ht="15" customHeight="1" x14ac:dyDescent="0.35">
      <c r="A53" t="s">
        <v>157</v>
      </c>
      <c r="B53" t="s">
        <v>135</v>
      </c>
      <c r="C53" t="s">
        <v>158</v>
      </c>
      <c r="D53" t="s">
        <v>23</v>
      </c>
      <c r="E53" t="b">
        <f>IF(D53=(_xlfn.XLOOKUP(RISE_lawyers!$A53, All!$A$2:$A$158,All!H$2:H$158)), TRUE, FALSE)</f>
        <v>1</v>
      </c>
      <c r="F53" t="s">
        <v>39</v>
      </c>
      <c r="G53" t="b">
        <f>IF(F53=(_xlfn.XLOOKUP(RISE_lawyers!$A53, All!$A$2:$A$158,All!G$2:G$158)), TRUE, FALSE)</f>
        <v>1</v>
      </c>
      <c r="H53" t="s">
        <v>33</v>
      </c>
      <c r="J53" t="s">
        <v>992</v>
      </c>
    </row>
    <row r="54" spans="1:10" ht="15" customHeight="1" x14ac:dyDescent="0.35">
      <c r="A54" t="s">
        <v>159</v>
      </c>
      <c r="B54" t="s">
        <v>135</v>
      </c>
      <c r="C54" t="s">
        <v>160</v>
      </c>
      <c r="D54" t="s">
        <v>23</v>
      </c>
      <c r="E54" t="b">
        <f>IF(D54=(_xlfn.XLOOKUP(RISE_lawyers!$A54, All!$A$2:$A$158,All!H$2:H$158)), TRUE, FALSE)</f>
        <v>1</v>
      </c>
      <c r="F54" t="s">
        <v>24</v>
      </c>
      <c r="G54" t="b">
        <f>IF(F54=(_xlfn.XLOOKUP(RISE_lawyers!$A54, All!$A$2:$A$158,All!G$2:G$158)), TRUE, FALSE)</f>
        <v>1</v>
      </c>
      <c r="H54" t="s">
        <v>25</v>
      </c>
      <c r="J54" t="s">
        <v>992</v>
      </c>
    </row>
    <row r="55" spans="1:10" ht="15" customHeight="1" x14ac:dyDescent="0.35">
      <c r="A55" t="s">
        <v>161</v>
      </c>
      <c r="B55" t="s">
        <v>135</v>
      </c>
      <c r="C55" t="s">
        <v>162</v>
      </c>
      <c r="D55" t="s">
        <v>163</v>
      </c>
      <c r="E55" t="b">
        <f>IF(D55=(_xlfn.XLOOKUP(RISE_lawyers!$A55, All!$A$2:$A$158,All!H$2:H$158)), TRUE, FALSE)</f>
        <v>1</v>
      </c>
      <c r="F55" t="s">
        <v>24</v>
      </c>
      <c r="G55" t="b">
        <f>IF(F55=(_xlfn.XLOOKUP(RISE_lawyers!$A55, All!$A$2:$A$158,All!G$2:G$158)), TRUE, FALSE)</f>
        <v>1</v>
      </c>
      <c r="H55" t="s">
        <v>48</v>
      </c>
      <c r="J55" t="s">
        <v>1012</v>
      </c>
    </row>
    <row r="56" spans="1:10" ht="15" customHeight="1" x14ac:dyDescent="0.35">
      <c r="A56" t="s">
        <v>164</v>
      </c>
      <c r="B56" t="s">
        <v>135</v>
      </c>
      <c r="C56" t="s">
        <v>165</v>
      </c>
      <c r="D56" t="s">
        <v>23</v>
      </c>
      <c r="E56" t="b">
        <f>IF(D56=(_xlfn.XLOOKUP(RISE_lawyers!$A56, All!$A$2:$A$158,All!H$2:H$158)), TRUE, FALSE)</f>
        <v>1</v>
      </c>
      <c r="F56" t="s">
        <v>39</v>
      </c>
      <c r="G56" t="b">
        <f>IF(F56=(_xlfn.XLOOKUP(RISE_lawyers!$A56, All!$A$2:$A$158,All!G$2:G$158)), TRUE, FALSE)</f>
        <v>1</v>
      </c>
      <c r="H56" t="s">
        <v>166</v>
      </c>
      <c r="J56" t="s">
        <v>992</v>
      </c>
    </row>
    <row r="57" spans="1:10" ht="15" customHeight="1" x14ac:dyDescent="0.35">
      <c r="A57" t="s">
        <v>167</v>
      </c>
      <c r="B57" t="s">
        <v>135</v>
      </c>
      <c r="C57" t="s">
        <v>168</v>
      </c>
      <c r="D57" t="s">
        <v>23</v>
      </c>
      <c r="E57" t="b">
        <f>IF(D57=(_xlfn.XLOOKUP(RISE_lawyers!$A57, All!$A$2:$A$158,All!H$2:H$158)), TRUE, FALSE)</f>
        <v>1</v>
      </c>
      <c r="F57" t="s">
        <v>39</v>
      </c>
      <c r="G57" t="b">
        <f>IF(F57=(_xlfn.XLOOKUP(RISE_lawyers!$A57, All!$A$2:$A$158,All!G$2:G$158)), TRUE, FALSE)</f>
        <v>1</v>
      </c>
      <c r="H57" t="s">
        <v>166</v>
      </c>
      <c r="J57" t="s">
        <v>992</v>
      </c>
    </row>
    <row r="58" spans="1:10" ht="15" customHeight="1" x14ac:dyDescent="0.35">
      <c r="A58" t="s">
        <v>169</v>
      </c>
      <c r="B58" t="s">
        <v>135</v>
      </c>
      <c r="C58" t="s">
        <v>170</v>
      </c>
      <c r="D58" t="s">
        <v>23</v>
      </c>
      <c r="E58" t="b">
        <f>IF(D58=(_xlfn.XLOOKUP(RISE_lawyers!$A58, All!$A$2:$A$158,All!H$2:H$158)), TRUE, FALSE)</f>
        <v>1</v>
      </c>
      <c r="F58" t="s">
        <v>24</v>
      </c>
      <c r="G58" t="b">
        <f>IF(F58=(_xlfn.XLOOKUP(RISE_lawyers!$A58, All!$A$2:$A$158,All!G$2:G$158)), TRUE, FALSE)</f>
        <v>1</v>
      </c>
      <c r="H58" t="s">
        <v>166</v>
      </c>
      <c r="J58" t="s">
        <v>992</v>
      </c>
    </row>
    <row r="59" spans="1:10" ht="15" customHeight="1" x14ac:dyDescent="0.35">
      <c r="A59" t="s">
        <v>171</v>
      </c>
      <c r="B59" t="s">
        <v>135</v>
      </c>
      <c r="C59" t="s">
        <v>172</v>
      </c>
      <c r="D59" t="s">
        <v>60</v>
      </c>
      <c r="E59" t="b">
        <f>IF(D59=(_xlfn.XLOOKUP(RISE_lawyers!$A59, All!$A$2:$A$158,All!H$2:H$158)), TRUE, FALSE)</f>
        <v>1</v>
      </c>
      <c r="F59" t="s">
        <v>39</v>
      </c>
      <c r="G59" t="b">
        <f>IF(F59=(_xlfn.XLOOKUP(RISE_lawyers!$A59, All!$A$2:$A$158,All!G$2:G$158)), TRUE, FALSE)</f>
        <v>1</v>
      </c>
      <c r="H59" t="s">
        <v>73</v>
      </c>
      <c r="J59" t="s">
        <v>992</v>
      </c>
    </row>
    <row r="60" spans="1:10" ht="15" customHeight="1" x14ac:dyDescent="0.35">
      <c r="A60" t="s">
        <v>173</v>
      </c>
      <c r="B60" t="s">
        <v>135</v>
      </c>
      <c r="C60" t="s">
        <v>174</v>
      </c>
      <c r="D60" t="s">
        <v>23</v>
      </c>
      <c r="E60" t="b">
        <f>IF(D60=(_xlfn.XLOOKUP(RISE_lawyers!$A60, All!$A$2:$A$158,All!H$2:H$158)), TRUE, FALSE)</f>
        <v>1</v>
      </c>
      <c r="F60" t="s">
        <v>24</v>
      </c>
      <c r="G60" t="b">
        <f>IF(F60=(_xlfn.XLOOKUP(RISE_lawyers!$A60, All!$A$2:$A$158,All!G$2:G$158)), TRUE, FALSE)</f>
        <v>1</v>
      </c>
      <c r="H60" t="s">
        <v>42</v>
      </c>
      <c r="J60" t="s">
        <v>992</v>
      </c>
    </row>
    <row r="61" spans="1:10" ht="15" customHeight="1" x14ac:dyDescent="0.35">
      <c r="A61" t="s">
        <v>175</v>
      </c>
      <c r="B61" t="s">
        <v>135</v>
      </c>
      <c r="C61" t="s">
        <v>176</v>
      </c>
      <c r="D61" t="s">
        <v>23</v>
      </c>
      <c r="E61" t="b">
        <f>IF(D61=(_xlfn.XLOOKUP(RISE_lawyers!$A61, All!$A$2:$A$158,All!H$2:H$158)), TRUE, FALSE)</f>
        <v>1</v>
      </c>
      <c r="F61" t="s">
        <v>39</v>
      </c>
      <c r="G61" t="b">
        <f>IF(F61=(_xlfn.XLOOKUP(RISE_lawyers!$A61, All!$A$2:$A$158,All!G$2:G$158)), TRUE, FALSE)</f>
        <v>1</v>
      </c>
      <c r="H61" t="s">
        <v>48</v>
      </c>
      <c r="J61" t="s">
        <v>1006</v>
      </c>
    </row>
    <row r="62" spans="1:10" ht="15" customHeight="1" x14ac:dyDescent="0.35">
      <c r="A62" t="s">
        <v>177</v>
      </c>
      <c r="B62" t="s">
        <v>135</v>
      </c>
      <c r="C62" t="s">
        <v>178</v>
      </c>
      <c r="D62" t="s">
        <v>23</v>
      </c>
      <c r="E62" t="b">
        <f>IF(D62=(_xlfn.XLOOKUP(RISE_lawyers!$A62, All!$A$2:$A$158,All!H$2:H$158)), TRUE, FALSE)</f>
        <v>1</v>
      </c>
      <c r="F62" t="s">
        <v>39</v>
      </c>
      <c r="G62" t="b">
        <f>IF(F62=(_xlfn.XLOOKUP(RISE_lawyers!$A62, All!$A$2:$A$158,All!G$2:G$158)), TRUE, FALSE)</f>
        <v>1</v>
      </c>
      <c r="H62" t="s">
        <v>36</v>
      </c>
      <c r="J62" t="s">
        <v>992</v>
      </c>
    </row>
    <row r="63" spans="1:10" ht="15" customHeight="1" x14ac:dyDescent="0.35">
      <c r="A63" t="s">
        <v>179</v>
      </c>
      <c r="B63" t="s">
        <v>135</v>
      </c>
      <c r="C63" t="s">
        <v>180</v>
      </c>
      <c r="D63" t="s">
        <v>23</v>
      </c>
      <c r="E63" t="b">
        <f>IF(D63=(_xlfn.XLOOKUP(RISE_lawyers!$A63, All!$A$2:$A$158,All!H$2:H$158)), TRUE, FALSE)</f>
        <v>1</v>
      </c>
      <c r="F63" t="s">
        <v>39</v>
      </c>
      <c r="G63" t="b">
        <f>IF(F63=(_xlfn.XLOOKUP(RISE_lawyers!$A63, All!$A$2:$A$158,All!G$2:G$158)), TRUE, FALSE)</f>
        <v>1</v>
      </c>
      <c r="H63" t="s">
        <v>25</v>
      </c>
      <c r="J63" t="s">
        <v>992</v>
      </c>
    </row>
    <row r="64" spans="1:10" ht="15" customHeight="1" x14ac:dyDescent="0.35">
      <c r="A64" t="s">
        <v>181</v>
      </c>
      <c r="B64" t="s">
        <v>135</v>
      </c>
      <c r="C64" t="s">
        <v>182</v>
      </c>
      <c r="D64" t="s">
        <v>23</v>
      </c>
      <c r="E64" t="b">
        <f>IF(D64=(_xlfn.XLOOKUP(RISE_lawyers!$A64, All!$A$2:$A$158,All!H$2:H$158)), TRUE, FALSE)</f>
        <v>1</v>
      </c>
      <c r="F64" t="s">
        <v>39</v>
      </c>
      <c r="G64" t="b">
        <f>IF(F64=(_xlfn.XLOOKUP(RISE_lawyers!$A64, All!$A$2:$A$158,All!G$2:G$158)), TRUE, FALSE)</f>
        <v>1</v>
      </c>
      <c r="H64" t="s">
        <v>42</v>
      </c>
      <c r="J64" t="s">
        <v>992</v>
      </c>
    </row>
    <row r="65" spans="1:10" ht="15" customHeight="1" x14ac:dyDescent="0.35">
      <c r="A65" t="s">
        <v>183</v>
      </c>
      <c r="B65" t="s">
        <v>135</v>
      </c>
      <c r="C65" t="s">
        <v>184</v>
      </c>
      <c r="D65" t="s">
        <v>23</v>
      </c>
      <c r="E65" t="b">
        <f>IF(D65=(_xlfn.XLOOKUP(RISE_lawyers!$A65, All!$A$2:$A$158,All!H$2:H$158)), TRUE, FALSE)</f>
        <v>1</v>
      </c>
      <c r="F65" t="s">
        <v>39</v>
      </c>
      <c r="G65" t="b">
        <f>IF(F65=(_xlfn.XLOOKUP(RISE_lawyers!$A65, All!$A$2:$A$158,All!G$2:G$158)), TRUE, FALSE)</f>
        <v>1</v>
      </c>
      <c r="H65" t="s">
        <v>185</v>
      </c>
      <c r="J65" t="s">
        <v>992</v>
      </c>
    </row>
    <row r="66" spans="1:10" ht="15" customHeight="1" x14ac:dyDescent="0.35">
      <c r="A66" t="s">
        <v>186</v>
      </c>
      <c r="B66" t="s">
        <v>135</v>
      </c>
      <c r="C66" t="s">
        <v>187</v>
      </c>
      <c r="D66" t="s">
        <v>791</v>
      </c>
      <c r="E66" t="b">
        <f>IF(D66=(_xlfn.XLOOKUP(RISE_lawyers!$A66, All!$A$2:$A$158,All!H$2:H$158)), TRUE, FALSE)</f>
        <v>1</v>
      </c>
      <c r="F66" t="s">
        <v>24</v>
      </c>
      <c r="G66" t="b">
        <f>IF(F66=(_xlfn.XLOOKUP(RISE_lawyers!$A66, All!$A$2:$A$158,All!G$2:G$158)), TRUE, FALSE)</f>
        <v>1</v>
      </c>
      <c r="H66" t="s">
        <v>36</v>
      </c>
      <c r="J66" t="s">
        <v>992</v>
      </c>
    </row>
    <row r="67" spans="1:10" ht="15" customHeight="1" x14ac:dyDescent="0.35">
      <c r="A67" t="s">
        <v>188</v>
      </c>
      <c r="B67" t="s">
        <v>135</v>
      </c>
      <c r="C67" t="s">
        <v>189</v>
      </c>
      <c r="D67" t="s">
        <v>23</v>
      </c>
      <c r="E67" t="b">
        <f>IF(D67=(_xlfn.XLOOKUP(RISE_lawyers!$A67, All!$A$2:$A$158,All!H$2:H$158)), TRUE, FALSE)</f>
        <v>1</v>
      </c>
      <c r="F67" t="s">
        <v>39</v>
      </c>
      <c r="G67" t="b">
        <f>IF(F67=(_xlfn.XLOOKUP(RISE_lawyers!$A67, All!$A$2:$A$158,All!G$2:G$158)), TRUE, FALSE)</f>
        <v>1</v>
      </c>
      <c r="H67" t="s">
        <v>48</v>
      </c>
      <c r="J67" t="s">
        <v>992</v>
      </c>
    </row>
    <row r="68" spans="1:10" ht="15" customHeight="1" x14ac:dyDescent="0.35">
      <c r="A68" t="s">
        <v>190</v>
      </c>
      <c r="B68" t="s">
        <v>135</v>
      </c>
      <c r="C68" t="s">
        <v>191</v>
      </c>
      <c r="D68" t="s">
        <v>23</v>
      </c>
      <c r="E68" t="b">
        <f>IF(D68=(_xlfn.XLOOKUP(RISE_lawyers!$A68, All!$A$2:$A$158,All!H$2:H$158)), TRUE, FALSE)</f>
        <v>1</v>
      </c>
      <c r="F68" t="s">
        <v>39</v>
      </c>
      <c r="G68" t="b">
        <f>IF(F68=(_xlfn.XLOOKUP(RISE_lawyers!$A68, All!$A$2:$A$158,All!G$2:G$158)), TRUE, FALSE)</f>
        <v>1</v>
      </c>
      <c r="H68" t="s">
        <v>48</v>
      </c>
      <c r="J68" t="s">
        <v>992</v>
      </c>
    </row>
    <row r="69" spans="1:10" ht="15" customHeight="1" x14ac:dyDescent="0.35">
      <c r="A69" t="s">
        <v>192</v>
      </c>
      <c r="B69" t="s">
        <v>135</v>
      </c>
      <c r="C69" t="s">
        <v>193</v>
      </c>
      <c r="D69" t="s">
        <v>669</v>
      </c>
      <c r="E69" t="b">
        <f>IF(D69=(_xlfn.XLOOKUP(RISE_lawyers!$A69, All!$A$2:$A$158,All!H$2:H$158)), TRUE, FALSE)</f>
        <v>1</v>
      </c>
      <c r="F69" t="s">
        <v>57</v>
      </c>
      <c r="G69" t="b">
        <f>IF(F69=(_xlfn.XLOOKUP(RISE_lawyers!$A69, All!$A$2:$A$158,All!G$2:G$158)), TRUE, FALSE)</f>
        <v>1</v>
      </c>
      <c r="H69" t="s">
        <v>48</v>
      </c>
      <c r="J69" t="s">
        <v>992</v>
      </c>
    </row>
    <row r="70" spans="1:10" ht="15" customHeight="1" x14ac:dyDescent="0.35">
      <c r="A70" t="s">
        <v>194</v>
      </c>
      <c r="B70" t="s">
        <v>135</v>
      </c>
      <c r="C70" t="s">
        <v>195</v>
      </c>
      <c r="D70" t="s">
        <v>23</v>
      </c>
      <c r="E70" t="b">
        <f>IF(D70=(_xlfn.XLOOKUP(RISE_lawyers!$A70, All!$A$2:$A$158,All!H$2:H$158)), TRUE, FALSE)</f>
        <v>1</v>
      </c>
      <c r="F70" t="s">
        <v>39</v>
      </c>
      <c r="G70" t="b">
        <f>IF(F70=(_xlfn.XLOOKUP(RISE_lawyers!$A70, All!$A$2:$A$158,All!G$2:G$158)), TRUE, FALSE)</f>
        <v>1</v>
      </c>
      <c r="H70" t="s">
        <v>33</v>
      </c>
      <c r="J70" t="s">
        <v>992</v>
      </c>
    </row>
    <row r="71" spans="1:10" ht="15" customHeight="1" x14ac:dyDescent="0.35">
      <c r="A71" t="s">
        <v>196</v>
      </c>
      <c r="B71" t="s">
        <v>135</v>
      </c>
      <c r="C71" t="s">
        <v>197</v>
      </c>
      <c r="D71" t="s">
        <v>23</v>
      </c>
      <c r="E71" t="b">
        <f>IF(D71=(_xlfn.XLOOKUP(RISE_lawyers!$A71, All!$A$2:$A$158,All!H$2:H$158)), TRUE, FALSE)</f>
        <v>1</v>
      </c>
      <c r="F71" t="s">
        <v>39</v>
      </c>
      <c r="G71" t="b">
        <f>IF(F71=(_xlfn.XLOOKUP(RISE_lawyers!$A71, All!$A$2:$A$158,All!G$2:G$158)), TRUE, FALSE)</f>
        <v>1</v>
      </c>
      <c r="H71" t="s">
        <v>166</v>
      </c>
      <c r="J71" t="s">
        <v>992</v>
      </c>
    </row>
    <row r="72" spans="1:10" ht="15" customHeight="1" x14ac:dyDescent="0.35">
      <c r="A72" t="s">
        <v>198</v>
      </c>
      <c r="B72" t="s">
        <v>135</v>
      </c>
      <c r="C72" t="s">
        <v>199</v>
      </c>
      <c r="D72" t="s">
        <v>200</v>
      </c>
      <c r="E72" t="b">
        <f>IF(D72=(_xlfn.XLOOKUP(RISE_lawyers!$A72, All!$A$2:$A$158,All!H$2:H$158)), TRUE, FALSE)</f>
        <v>1</v>
      </c>
      <c r="F72" t="s">
        <v>39</v>
      </c>
      <c r="G72" t="b">
        <f>IF(F72=(_xlfn.XLOOKUP(RISE_lawyers!$A72, All!$A$2:$A$158,All!G$2:G$158)), TRUE, FALSE)</f>
        <v>1</v>
      </c>
      <c r="H72" t="s">
        <v>25</v>
      </c>
      <c r="J72" t="s">
        <v>992</v>
      </c>
    </row>
    <row r="73" spans="1:10" ht="15" customHeight="1" x14ac:dyDescent="0.35">
      <c r="A73" t="s">
        <v>201</v>
      </c>
      <c r="B73" t="s">
        <v>135</v>
      </c>
      <c r="C73" t="s">
        <v>202</v>
      </c>
      <c r="D73" t="s">
        <v>23</v>
      </c>
      <c r="E73" t="b">
        <f>IF(D73=(_xlfn.XLOOKUP(RISE_lawyers!$A73, All!$A$2:$A$158,All!H$2:H$158)), TRUE, FALSE)</f>
        <v>1</v>
      </c>
      <c r="F73" t="s">
        <v>57</v>
      </c>
      <c r="G73" t="b">
        <f>IF(F73=(_xlfn.XLOOKUP(RISE_lawyers!$A73, All!$A$2:$A$158,All!G$2:G$158)), TRUE, FALSE)</f>
        <v>1</v>
      </c>
      <c r="H73" t="s">
        <v>25</v>
      </c>
      <c r="J73" t="s">
        <v>992</v>
      </c>
    </row>
    <row r="74" spans="1:10" ht="15" customHeight="1" x14ac:dyDescent="0.35">
      <c r="A74" t="s">
        <v>203</v>
      </c>
      <c r="B74" t="s">
        <v>135</v>
      </c>
      <c r="C74" t="s">
        <v>204</v>
      </c>
      <c r="D74" t="s">
        <v>60</v>
      </c>
      <c r="E74" t="b">
        <f>IF(D74=(_xlfn.XLOOKUP(RISE_lawyers!$A74, All!$A$2:$A$158,All!H$2:H$158)), TRUE, FALSE)</f>
        <v>1</v>
      </c>
      <c r="F74" t="s">
        <v>39</v>
      </c>
      <c r="G74" t="b">
        <f>IF(F74=(_xlfn.XLOOKUP(RISE_lawyers!$A74, All!$A$2:$A$158,All!G$2:G$158)), TRUE, FALSE)</f>
        <v>1</v>
      </c>
      <c r="H74" t="s">
        <v>73</v>
      </c>
      <c r="J74" t="s">
        <v>1011</v>
      </c>
    </row>
    <row r="75" spans="1:10" ht="15" customHeight="1" x14ac:dyDescent="0.35">
      <c r="A75" t="s">
        <v>205</v>
      </c>
      <c r="B75" t="s">
        <v>110</v>
      </c>
      <c r="C75" t="s">
        <v>206</v>
      </c>
      <c r="D75" t="s">
        <v>23</v>
      </c>
      <c r="E75" t="b">
        <f>IF(D75=(_xlfn.XLOOKUP(RISE_lawyers!$A75, All!$A$2:$A$158,All!H$2:H$158)), TRUE, FALSE)</f>
        <v>1</v>
      </c>
      <c r="F75" t="s">
        <v>39</v>
      </c>
      <c r="G75" t="b">
        <f>IF(F75=(_xlfn.XLOOKUP(RISE_lawyers!$A75, All!$A$2:$A$158,All!G$2:G$158)), TRUE, FALSE)</f>
        <v>1</v>
      </c>
      <c r="H75" t="s">
        <v>36</v>
      </c>
      <c r="J75" t="s">
        <v>1005</v>
      </c>
    </row>
    <row r="76" spans="1:10" ht="15" customHeight="1" x14ac:dyDescent="0.35">
      <c r="A76" t="s">
        <v>207</v>
      </c>
      <c r="B76" t="s">
        <v>135</v>
      </c>
      <c r="C76" t="s">
        <v>208</v>
      </c>
      <c r="D76" t="s">
        <v>209</v>
      </c>
      <c r="E76" t="b">
        <f>IF(D76=(_xlfn.XLOOKUP(RISE_lawyers!$A76, All!$A$2:$A$158,All!H$2:H$158)), TRUE, FALSE)</f>
        <v>1</v>
      </c>
      <c r="F76" t="s">
        <v>57</v>
      </c>
      <c r="G76" t="b">
        <f>IF(F76=(_xlfn.XLOOKUP(RISE_lawyers!$A76, All!$A$2:$A$158,All!G$2:G$158)), TRUE, FALSE)</f>
        <v>1</v>
      </c>
      <c r="H76" t="s">
        <v>33</v>
      </c>
      <c r="J76" t="s">
        <v>1010</v>
      </c>
    </row>
    <row r="77" spans="1:10" ht="15" customHeight="1" x14ac:dyDescent="0.35">
      <c r="A77" t="s">
        <v>210</v>
      </c>
      <c r="B77" t="s">
        <v>135</v>
      </c>
      <c r="C77" t="s">
        <v>211</v>
      </c>
      <c r="D77" t="s">
        <v>23</v>
      </c>
      <c r="E77" t="b">
        <f>IF(D77=(_xlfn.XLOOKUP(RISE_lawyers!$A77, All!$A$2:$A$158,All!H$2:H$158)), TRUE, FALSE)</f>
        <v>1</v>
      </c>
      <c r="F77" t="s">
        <v>57</v>
      </c>
      <c r="G77" t="b">
        <f>IF(F77=(_xlfn.XLOOKUP(RISE_lawyers!$A77, All!$A$2:$A$158,All!G$2:G$158)), TRUE, FALSE)</f>
        <v>1</v>
      </c>
      <c r="H77" t="s">
        <v>33</v>
      </c>
      <c r="J77" t="s">
        <v>992</v>
      </c>
    </row>
    <row r="78" spans="1:10" ht="15" customHeight="1" x14ac:dyDescent="0.35">
      <c r="A78" t="s">
        <v>212</v>
      </c>
      <c r="B78" t="s">
        <v>135</v>
      </c>
      <c r="C78" t="s">
        <v>213</v>
      </c>
      <c r="D78" t="s">
        <v>214</v>
      </c>
      <c r="E78" t="b">
        <f>IF(D78=(_xlfn.XLOOKUP(RISE_lawyers!$A78, All!$A$2:$A$158,All!H$2:H$158)), TRUE, FALSE)</f>
        <v>1</v>
      </c>
      <c r="F78" t="s">
        <v>24</v>
      </c>
      <c r="G78" t="b">
        <f>IF(F78=(_xlfn.XLOOKUP(RISE_lawyers!$A78, All!$A$2:$A$158,All!G$2:G$158)), TRUE, FALSE)</f>
        <v>1</v>
      </c>
      <c r="H78" t="s">
        <v>48</v>
      </c>
      <c r="J78" t="s">
        <v>992</v>
      </c>
    </row>
    <row r="79" spans="1:10" ht="15" customHeight="1" x14ac:dyDescent="0.35">
      <c r="A79" t="s">
        <v>215</v>
      </c>
      <c r="B79" t="s">
        <v>135</v>
      </c>
      <c r="C79" t="s">
        <v>216</v>
      </c>
      <c r="D79" t="s">
        <v>23</v>
      </c>
      <c r="E79" t="b">
        <f>IF(D79=(_xlfn.XLOOKUP(RISE_lawyers!$A79, All!$A$2:$A$158,All!H$2:H$158)), TRUE, FALSE)</f>
        <v>1</v>
      </c>
      <c r="F79" t="s">
        <v>39</v>
      </c>
      <c r="G79" t="b">
        <f>IF(F79=(_xlfn.XLOOKUP(RISE_lawyers!$A79, All!$A$2:$A$158,All!G$2:G$158)), TRUE, FALSE)</f>
        <v>1</v>
      </c>
      <c r="H79" t="s">
        <v>91</v>
      </c>
      <c r="J79" t="s">
        <v>992</v>
      </c>
    </row>
    <row r="80" spans="1:10" ht="15" customHeight="1" x14ac:dyDescent="0.35">
      <c r="A80" t="s">
        <v>217</v>
      </c>
      <c r="B80" t="s">
        <v>135</v>
      </c>
      <c r="C80" t="s">
        <v>218</v>
      </c>
      <c r="D80" t="s">
        <v>219</v>
      </c>
      <c r="E80" t="b">
        <f>IF(D80=(_xlfn.XLOOKUP(RISE_lawyers!$A80, All!$A$2:$A$158,All!H$2:H$158)), TRUE, FALSE)</f>
        <v>1</v>
      </c>
      <c r="F80" t="s">
        <v>39</v>
      </c>
      <c r="G80" t="b">
        <f>IF(F80=(_xlfn.XLOOKUP(RISE_lawyers!$A80, All!$A$2:$A$158,All!G$2:G$158)), TRUE, FALSE)</f>
        <v>1</v>
      </c>
      <c r="H80" t="s">
        <v>48</v>
      </c>
      <c r="J80" t="s">
        <v>1008</v>
      </c>
    </row>
    <row r="81" spans="1:10" ht="15" customHeight="1" x14ac:dyDescent="0.35">
      <c r="A81" t="s">
        <v>220</v>
      </c>
      <c r="B81" t="s">
        <v>135</v>
      </c>
      <c r="C81" t="s">
        <v>221</v>
      </c>
      <c r="D81" t="s">
        <v>23</v>
      </c>
      <c r="E81" t="b">
        <f>IF(D81=(_xlfn.XLOOKUP(RISE_lawyers!$A81, All!$A$2:$A$158,All!H$2:H$158)), TRUE, FALSE)</f>
        <v>1</v>
      </c>
      <c r="F81" t="s">
        <v>39</v>
      </c>
      <c r="G81" t="b">
        <f>IF(F81=(_xlfn.XLOOKUP(RISE_lawyers!$A81, All!$A$2:$A$158,All!G$2:G$158)), TRUE, FALSE)</f>
        <v>1</v>
      </c>
      <c r="H81" t="s">
        <v>166</v>
      </c>
      <c r="J81" t="s">
        <v>992</v>
      </c>
    </row>
    <row r="82" spans="1:10" ht="15" customHeight="1" x14ac:dyDescent="0.35">
      <c r="A82" t="s">
        <v>222</v>
      </c>
      <c r="B82" t="s">
        <v>223</v>
      </c>
      <c r="C82" t="s">
        <v>224</v>
      </c>
      <c r="D82" t="s">
        <v>23</v>
      </c>
      <c r="E82" t="b">
        <f>IF(D82=(_xlfn.XLOOKUP(RISE_lawyers!$A82, All!$A$2:$A$158,All!H$2:H$158)), TRUE, FALSE)</f>
        <v>1</v>
      </c>
      <c r="F82" t="s">
        <v>24</v>
      </c>
      <c r="G82" t="b">
        <f>IF(F82=(_xlfn.XLOOKUP(RISE_lawyers!$A82, All!$A$2:$A$158,All!G$2:G$158)), TRUE, FALSE)</f>
        <v>1</v>
      </c>
      <c r="H82" t="s">
        <v>185</v>
      </c>
      <c r="J82" t="s">
        <v>992</v>
      </c>
    </row>
    <row r="83" spans="1:10" ht="15" customHeight="1" x14ac:dyDescent="0.35">
      <c r="A83" t="s">
        <v>225</v>
      </c>
      <c r="B83" t="s">
        <v>223</v>
      </c>
      <c r="C83" t="s">
        <v>226</v>
      </c>
      <c r="D83" t="s">
        <v>227</v>
      </c>
      <c r="E83" t="b">
        <f>IF(D83=(_xlfn.XLOOKUP(RISE_lawyers!$A83, All!$A$2:$A$158,All!H$2:H$158)), TRUE, FALSE)</f>
        <v>1</v>
      </c>
      <c r="F83" t="s">
        <v>24</v>
      </c>
      <c r="G83" t="b">
        <f>IF(F83=(_xlfn.XLOOKUP(RISE_lawyers!$A83, All!$A$2:$A$158,All!G$2:G$158)), TRUE, FALSE)</f>
        <v>1</v>
      </c>
      <c r="H83" t="s">
        <v>228</v>
      </c>
      <c r="J83" t="s">
        <v>992</v>
      </c>
    </row>
    <row r="84" spans="1:10" ht="15" customHeight="1" x14ac:dyDescent="0.35">
      <c r="A84" t="s">
        <v>229</v>
      </c>
      <c r="B84" t="s">
        <v>223</v>
      </c>
      <c r="C84" t="s">
        <v>230</v>
      </c>
      <c r="D84" t="s">
        <v>23</v>
      </c>
      <c r="E84" t="b">
        <f>IF(D84=(_xlfn.XLOOKUP(RISE_lawyers!$A84, All!$A$2:$A$158,All!H$2:H$158)), TRUE, FALSE)</f>
        <v>1</v>
      </c>
      <c r="F84" t="s">
        <v>24</v>
      </c>
      <c r="G84" t="b">
        <f>IF(F84=(_xlfn.XLOOKUP(RISE_lawyers!$A84, All!$A$2:$A$158,All!G$2:G$158)), TRUE, FALSE)</f>
        <v>1</v>
      </c>
      <c r="H84" t="s">
        <v>166</v>
      </c>
      <c r="J84" t="s">
        <v>992</v>
      </c>
    </row>
    <row r="85" spans="1:10" ht="15" customHeight="1" x14ac:dyDescent="0.35">
      <c r="A85" t="s">
        <v>231</v>
      </c>
      <c r="B85" t="s">
        <v>223</v>
      </c>
      <c r="C85" t="s">
        <v>232</v>
      </c>
      <c r="D85" t="s">
        <v>23</v>
      </c>
      <c r="E85" t="b">
        <f>IF(D85=(_xlfn.XLOOKUP(RISE_lawyers!$A85, All!$A$2:$A$158,All!H$2:H$158)), TRUE, FALSE)</f>
        <v>1</v>
      </c>
      <c r="F85" t="s">
        <v>39</v>
      </c>
      <c r="G85" t="b">
        <f>IF(F85=(_xlfn.XLOOKUP(RISE_lawyers!$A85, All!$A$2:$A$158,All!G$2:G$158)), TRUE, FALSE)</f>
        <v>1</v>
      </c>
      <c r="H85" t="s">
        <v>25</v>
      </c>
      <c r="J85" t="s">
        <v>992</v>
      </c>
    </row>
    <row r="86" spans="1:10" ht="15" customHeight="1" x14ac:dyDescent="0.35">
      <c r="A86" t="s">
        <v>233</v>
      </c>
      <c r="B86" t="s">
        <v>223</v>
      </c>
      <c r="C86" t="s">
        <v>234</v>
      </c>
      <c r="D86" t="s">
        <v>23</v>
      </c>
      <c r="E86" t="b">
        <f>IF(D86=(_xlfn.XLOOKUP(RISE_lawyers!$A86, All!$A$2:$A$158,All!H$2:H$158)), TRUE, FALSE)</f>
        <v>1</v>
      </c>
      <c r="F86" t="s">
        <v>39</v>
      </c>
      <c r="G86" t="b">
        <f>IF(F86=(_xlfn.XLOOKUP(RISE_lawyers!$A86, All!$A$2:$A$158,All!G$2:G$158)), TRUE, FALSE)</f>
        <v>1</v>
      </c>
      <c r="H86" t="s">
        <v>25</v>
      </c>
      <c r="J86" t="s">
        <v>992</v>
      </c>
    </row>
    <row r="87" spans="1:10" ht="15" customHeight="1" x14ac:dyDescent="0.35">
      <c r="A87" t="s">
        <v>235</v>
      </c>
      <c r="B87" t="s">
        <v>223</v>
      </c>
      <c r="C87" t="s">
        <v>236</v>
      </c>
      <c r="D87" t="s">
        <v>23</v>
      </c>
      <c r="E87" t="b">
        <f>IF(D87=(_xlfn.XLOOKUP(RISE_lawyers!$A87, All!$A$2:$A$158,All!H$2:H$158)), TRUE, FALSE)</f>
        <v>1</v>
      </c>
      <c r="F87" t="s">
        <v>24</v>
      </c>
      <c r="G87" t="b">
        <f>IF(F87=(_xlfn.XLOOKUP(RISE_lawyers!$A87, All!$A$2:$A$158,All!G$2:G$158)), TRUE, FALSE)</f>
        <v>1</v>
      </c>
      <c r="H87" t="s">
        <v>33</v>
      </c>
      <c r="J87" t="s">
        <v>992</v>
      </c>
    </row>
    <row r="88" spans="1:10" ht="15" customHeight="1" x14ac:dyDescent="0.35">
      <c r="A88" t="s">
        <v>237</v>
      </c>
      <c r="B88" t="s">
        <v>223</v>
      </c>
      <c r="C88" t="s">
        <v>238</v>
      </c>
      <c r="D88" t="s">
        <v>239</v>
      </c>
      <c r="E88" t="b">
        <f>IF(D88=(_xlfn.XLOOKUP(RISE_lawyers!$A88, All!$A$2:$A$158,All!H$2:H$158)), TRUE, FALSE)</f>
        <v>1</v>
      </c>
      <c r="F88" t="s">
        <v>39</v>
      </c>
      <c r="G88" t="b">
        <f>IF(F88=(_xlfn.XLOOKUP(RISE_lawyers!$A88, All!$A$2:$A$158,All!G$2:G$158)), TRUE, FALSE)</f>
        <v>1</v>
      </c>
      <c r="H88" t="s">
        <v>48</v>
      </c>
      <c r="J88" t="s">
        <v>992</v>
      </c>
    </row>
    <row r="89" spans="1:10" ht="15" customHeight="1" x14ac:dyDescent="0.35">
      <c r="A89" t="s">
        <v>240</v>
      </c>
      <c r="B89" t="s">
        <v>223</v>
      </c>
      <c r="C89" t="s">
        <v>241</v>
      </c>
      <c r="D89" t="s">
        <v>242</v>
      </c>
      <c r="E89" t="b">
        <f>IF(D89=(_xlfn.XLOOKUP(RISE_lawyers!$A89, All!$A$2:$A$158,All!H$2:H$158)), TRUE, FALSE)</f>
        <v>1</v>
      </c>
      <c r="F89" t="s">
        <v>243</v>
      </c>
      <c r="G89" t="b">
        <f>IF(F89=(_xlfn.XLOOKUP(RISE_lawyers!$A89, All!$A$2:$A$158,All!G$2:G$158)), TRUE, FALSE)</f>
        <v>1</v>
      </c>
      <c r="H89" t="s">
        <v>244</v>
      </c>
      <c r="J89" t="s">
        <v>1019</v>
      </c>
    </row>
    <row r="90" spans="1:10" ht="15" customHeight="1" x14ac:dyDescent="0.35">
      <c r="A90" t="s">
        <v>245</v>
      </c>
      <c r="B90" t="s">
        <v>223</v>
      </c>
      <c r="C90" t="s">
        <v>246</v>
      </c>
      <c r="D90" t="s">
        <v>23</v>
      </c>
      <c r="E90" t="b">
        <f>IF(D90=(_xlfn.XLOOKUP(RISE_lawyers!$A90, All!$A$2:$A$158,All!H$2:H$158)), TRUE, FALSE)</f>
        <v>1</v>
      </c>
      <c r="F90" t="s">
        <v>39</v>
      </c>
      <c r="G90" t="b">
        <f>IF(F90=(_xlfn.XLOOKUP(RISE_lawyers!$A90, All!$A$2:$A$158,All!G$2:G$158)), TRUE, FALSE)</f>
        <v>1</v>
      </c>
      <c r="H90" t="s">
        <v>73</v>
      </c>
      <c r="J90" t="s">
        <v>1018</v>
      </c>
    </row>
    <row r="91" spans="1:10" ht="15" customHeight="1" x14ac:dyDescent="0.35">
      <c r="A91" t="s">
        <v>247</v>
      </c>
      <c r="B91" t="s">
        <v>223</v>
      </c>
      <c r="C91" t="s">
        <v>248</v>
      </c>
      <c r="D91" t="s">
        <v>249</v>
      </c>
      <c r="E91" t="b">
        <f>IF(D91=(_xlfn.XLOOKUP(RISE_lawyers!$A91, All!$A$2:$A$158,All!H$2:H$158)), TRUE, FALSE)</f>
        <v>1</v>
      </c>
      <c r="F91" t="s">
        <v>24</v>
      </c>
      <c r="G91" t="b">
        <f>IF(F91=(_xlfn.XLOOKUP(RISE_lawyers!$A91, All!$A$2:$A$158,All!G$2:G$158)), TRUE, FALSE)</f>
        <v>1</v>
      </c>
      <c r="H91" t="s">
        <v>244</v>
      </c>
      <c r="J91" t="s">
        <v>992</v>
      </c>
    </row>
    <row r="92" spans="1:10" ht="15" customHeight="1" x14ac:dyDescent="0.35">
      <c r="A92" t="s">
        <v>250</v>
      </c>
      <c r="B92" t="s">
        <v>223</v>
      </c>
      <c r="C92" t="s">
        <v>251</v>
      </c>
      <c r="D92" t="s">
        <v>23</v>
      </c>
      <c r="E92" t="b">
        <f>IF(D92=(_xlfn.XLOOKUP(RISE_lawyers!$A92, All!$A$2:$A$158,All!H$2:H$158)), TRUE, FALSE)</f>
        <v>1</v>
      </c>
      <c r="F92" t="s">
        <v>24</v>
      </c>
      <c r="G92" t="b">
        <f>IF(F92=(_xlfn.XLOOKUP(RISE_lawyers!$A92, All!$A$2:$A$158,All!G$2:G$158)), TRUE, FALSE)</f>
        <v>1</v>
      </c>
      <c r="H92" t="s">
        <v>48</v>
      </c>
      <c r="J92" t="s">
        <v>992</v>
      </c>
    </row>
    <row r="93" spans="1:10" ht="15" customHeight="1" x14ac:dyDescent="0.35">
      <c r="A93" t="s">
        <v>252</v>
      </c>
      <c r="B93" t="s">
        <v>223</v>
      </c>
      <c r="C93" t="s">
        <v>253</v>
      </c>
      <c r="D93" t="s">
        <v>23</v>
      </c>
      <c r="E93" t="b">
        <f>IF(D93=(_xlfn.XLOOKUP(RISE_lawyers!$A93, All!$A$2:$A$158,All!H$2:H$158)), TRUE, FALSE)</f>
        <v>1</v>
      </c>
      <c r="F93" t="s">
        <v>24</v>
      </c>
      <c r="G93" t="b">
        <f>IF(F93=(_xlfn.XLOOKUP(RISE_lawyers!$A93, All!$A$2:$A$158,All!G$2:G$158)), TRUE, FALSE)</f>
        <v>1</v>
      </c>
      <c r="H93" t="s">
        <v>42</v>
      </c>
      <c r="J93" t="s">
        <v>992</v>
      </c>
    </row>
    <row r="94" spans="1:10" ht="15" customHeight="1" x14ac:dyDescent="0.35">
      <c r="A94" t="s">
        <v>254</v>
      </c>
      <c r="B94" t="s">
        <v>223</v>
      </c>
      <c r="C94" t="s">
        <v>255</v>
      </c>
      <c r="D94" t="s">
        <v>23</v>
      </c>
      <c r="E94" t="b">
        <f>IF(D94=(_xlfn.XLOOKUP(RISE_lawyers!$A94, All!$A$2:$A$158,All!H$2:H$158)), TRUE, FALSE)</f>
        <v>1</v>
      </c>
      <c r="F94" t="s">
        <v>24</v>
      </c>
      <c r="G94" t="b">
        <f>IF(F94=(_xlfn.XLOOKUP(RISE_lawyers!$A94, All!$A$2:$A$158,All!G$2:G$158)), TRUE, FALSE)</f>
        <v>1</v>
      </c>
      <c r="H94" t="s">
        <v>256</v>
      </c>
      <c r="J94" t="s">
        <v>992</v>
      </c>
    </row>
    <row r="95" spans="1:10" ht="15" customHeight="1" x14ac:dyDescent="0.35">
      <c r="A95" t="s">
        <v>257</v>
      </c>
      <c r="B95" t="s">
        <v>223</v>
      </c>
      <c r="C95" t="s">
        <v>258</v>
      </c>
      <c r="D95" t="s">
        <v>23</v>
      </c>
      <c r="E95" t="b">
        <f>IF(D95=(_xlfn.XLOOKUP(RISE_lawyers!$A95, All!$A$2:$A$158,All!H$2:H$158)), TRUE, FALSE)</f>
        <v>1</v>
      </c>
      <c r="F95" t="s">
        <v>39</v>
      </c>
      <c r="G95" t="b">
        <f>IF(F95=(_xlfn.XLOOKUP(RISE_lawyers!$A95, All!$A$2:$A$158,All!G$2:G$158)), TRUE, FALSE)</f>
        <v>1</v>
      </c>
      <c r="H95" t="s">
        <v>33</v>
      </c>
      <c r="J95" t="s">
        <v>992</v>
      </c>
    </row>
    <row r="96" spans="1:10" ht="15" customHeight="1" x14ac:dyDescent="0.35">
      <c r="A96" t="s">
        <v>259</v>
      </c>
      <c r="B96" t="s">
        <v>223</v>
      </c>
      <c r="C96" t="s">
        <v>260</v>
      </c>
      <c r="D96" t="s">
        <v>23</v>
      </c>
      <c r="E96" t="b">
        <f>IF(D96=(_xlfn.XLOOKUP(RISE_lawyers!$A96, All!$A$2:$A$158,All!H$2:H$158)), TRUE, FALSE)</f>
        <v>1</v>
      </c>
      <c r="F96" t="s">
        <v>24</v>
      </c>
      <c r="G96" t="b">
        <f>IF(F96=(_xlfn.XLOOKUP(RISE_lawyers!$A96, All!$A$2:$A$158,All!G$2:G$158)), TRUE, FALSE)</f>
        <v>1</v>
      </c>
      <c r="H96" t="s">
        <v>33</v>
      </c>
      <c r="J96" t="s">
        <v>992</v>
      </c>
    </row>
    <row r="97" spans="1:10" ht="15" customHeight="1" x14ac:dyDescent="0.35">
      <c r="A97" t="s">
        <v>261</v>
      </c>
      <c r="B97" t="s">
        <v>223</v>
      </c>
      <c r="C97" t="s">
        <v>262</v>
      </c>
      <c r="D97" t="s">
        <v>23</v>
      </c>
      <c r="E97" t="b">
        <f>IF(D97=(_xlfn.XLOOKUP(RISE_lawyers!$A97, All!$A$2:$A$158,All!H$2:H$158)), TRUE, FALSE)</f>
        <v>1</v>
      </c>
      <c r="F97" t="s">
        <v>24</v>
      </c>
      <c r="G97" t="b">
        <f>IF(F97=(_xlfn.XLOOKUP(RISE_lawyers!$A97, All!$A$2:$A$158,All!G$2:G$158)), TRUE, FALSE)</f>
        <v>1</v>
      </c>
      <c r="H97" t="s">
        <v>36</v>
      </c>
      <c r="J97" t="s">
        <v>992</v>
      </c>
    </row>
    <row r="98" spans="1:10" ht="15" customHeight="1" x14ac:dyDescent="0.35">
      <c r="A98" t="s">
        <v>263</v>
      </c>
      <c r="B98" t="s">
        <v>223</v>
      </c>
      <c r="C98" t="s">
        <v>264</v>
      </c>
      <c r="D98" t="s">
        <v>23</v>
      </c>
      <c r="E98" t="b">
        <f>IF(D98=(_xlfn.XLOOKUP(RISE_lawyers!$A98, All!$A$2:$A$158,All!H$2:H$158)), TRUE, FALSE)</f>
        <v>1</v>
      </c>
      <c r="F98" t="s">
        <v>24</v>
      </c>
      <c r="G98" t="b">
        <f>IF(F98=(_xlfn.XLOOKUP(RISE_lawyers!$A98, All!$A$2:$A$158,All!G$2:G$158)), TRUE, FALSE)</f>
        <v>1</v>
      </c>
      <c r="H98" t="s">
        <v>73</v>
      </c>
      <c r="J98" t="s">
        <v>1018</v>
      </c>
    </row>
    <row r="99" spans="1:10" ht="15" customHeight="1" x14ac:dyDescent="0.35">
      <c r="A99" t="s">
        <v>265</v>
      </c>
      <c r="B99" t="s">
        <v>223</v>
      </c>
      <c r="C99" t="s">
        <v>266</v>
      </c>
      <c r="D99" t="s">
        <v>242</v>
      </c>
      <c r="E99" t="b">
        <f>IF(D99=(_xlfn.XLOOKUP(RISE_lawyers!$A99, All!$A$2:$A$158,All!H$2:H$158)), TRUE, FALSE)</f>
        <v>1</v>
      </c>
      <c r="F99" t="s">
        <v>24</v>
      </c>
      <c r="G99" t="b">
        <f>IF(F99=(_xlfn.XLOOKUP(RISE_lawyers!$A99, All!$A$2:$A$158,All!G$2:G$158)), TRUE, FALSE)</f>
        <v>1</v>
      </c>
      <c r="H99" t="s">
        <v>244</v>
      </c>
      <c r="J99" t="s">
        <v>1015</v>
      </c>
    </row>
    <row r="100" spans="1:10" ht="15" customHeight="1" x14ac:dyDescent="0.35">
      <c r="A100" t="s">
        <v>267</v>
      </c>
      <c r="B100" t="s">
        <v>223</v>
      </c>
      <c r="C100" t="s">
        <v>268</v>
      </c>
      <c r="D100" t="s">
        <v>23</v>
      </c>
      <c r="E100" t="b">
        <f>IF(D100=(_xlfn.XLOOKUP(RISE_lawyers!$A100, All!$A$2:$A$158,All!H$2:H$158)), TRUE, FALSE)</f>
        <v>1</v>
      </c>
      <c r="F100" t="s">
        <v>39</v>
      </c>
      <c r="G100" t="b">
        <f>IF(F100=(_xlfn.XLOOKUP(RISE_lawyers!$A100, All!$A$2:$A$158,All!G$2:G$158)), TRUE, FALSE)</f>
        <v>1</v>
      </c>
      <c r="H100" t="s">
        <v>73</v>
      </c>
      <c r="J100" t="s">
        <v>992</v>
      </c>
    </row>
    <row r="101" spans="1:10" ht="15" customHeight="1" x14ac:dyDescent="0.35">
      <c r="A101" t="s">
        <v>269</v>
      </c>
      <c r="B101" t="s">
        <v>223</v>
      </c>
      <c r="C101" t="s">
        <v>270</v>
      </c>
      <c r="D101" t="s">
        <v>23</v>
      </c>
      <c r="E101" t="b">
        <f>IF(D101=(_xlfn.XLOOKUP(RISE_lawyers!$A101, All!$A$2:$A$158,All!H$2:H$158)), TRUE, FALSE)</f>
        <v>1</v>
      </c>
      <c r="F101" t="s">
        <v>24</v>
      </c>
      <c r="G101" t="b">
        <f>IF(F101=(_xlfn.XLOOKUP(RISE_lawyers!$A101, All!$A$2:$A$158,All!G$2:G$158)), TRUE, FALSE)</f>
        <v>1</v>
      </c>
      <c r="H101" t="s">
        <v>25</v>
      </c>
      <c r="J101" t="s">
        <v>992</v>
      </c>
    </row>
    <row r="102" spans="1:10" ht="15" customHeight="1" x14ac:dyDescent="0.35">
      <c r="A102" t="s">
        <v>271</v>
      </c>
      <c r="B102" t="s">
        <v>223</v>
      </c>
      <c r="C102" t="s">
        <v>272</v>
      </c>
      <c r="D102" t="s">
        <v>23</v>
      </c>
      <c r="E102" t="b">
        <f>IF(D102=(_xlfn.XLOOKUP(RISE_lawyers!$A102, All!$A$2:$A$158,All!H$2:H$158)), TRUE, FALSE)</f>
        <v>1</v>
      </c>
      <c r="F102" t="s">
        <v>24</v>
      </c>
      <c r="G102" t="b">
        <f>IF(F102=(_xlfn.XLOOKUP(RISE_lawyers!$A102, All!$A$2:$A$158,All!G$2:G$158)), TRUE, FALSE)</f>
        <v>1</v>
      </c>
      <c r="H102" t="s">
        <v>36</v>
      </c>
      <c r="J102" t="s">
        <v>992</v>
      </c>
    </row>
    <row r="103" spans="1:10" ht="15" customHeight="1" x14ac:dyDescent="0.35">
      <c r="A103" t="s">
        <v>273</v>
      </c>
      <c r="B103" t="s">
        <v>223</v>
      </c>
      <c r="C103" t="s">
        <v>274</v>
      </c>
      <c r="D103" t="s">
        <v>23</v>
      </c>
      <c r="E103" t="b">
        <f>IF(D103=(_xlfn.XLOOKUP(RISE_lawyers!$A103, All!$A$2:$A$158,All!H$2:H$158)), TRUE, FALSE)</f>
        <v>1</v>
      </c>
      <c r="F103" t="s">
        <v>24</v>
      </c>
      <c r="G103" t="b">
        <f>IF(F103=(_xlfn.XLOOKUP(RISE_lawyers!$A103, All!$A$2:$A$158,All!G$2:G$158)), TRUE, FALSE)</f>
        <v>1</v>
      </c>
      <c r="H103" t="s">
        <v>275</v>
      </c>
      <c r="J103" t="s">
        <v>992</v>
      </c>
    </row>
    <row r="104" spans="1:10" ht="15" customHeight="1" x14ac:dyDescent="0.35">
      <c r="A104" t="s">
        <v>276</v>
      </c>
      <c r="B104" t="s">
        <v>223</v>
      </c>
      <c r="C104" t="s">
        <v>277</v>
      </c>
      <c r="D104" t="s">
        <v>23</v>
      </c>
      <c r="E104" t="b">
        <f>IF(D104=(_xlfn.XLOOKUP(RISE_lawyers!$A104, All!$A$2:$A$158,All!H$2:H$158)), TRUE, FALSE)</f>
        <v>1</v>
      </c>
      <c r="F104" t="s">
        <v>39</v>
      </c>
      <c r="G104" t="b">
        <f>IF(F104=(_xlfn.XLOOKUP(RISE_lawyers!$A104, All!$A$2:$A$158,All!G$2:G$158)), TRUE, FALSE)</f>
        <v>1</v>
      </c>
      <c r="H104" t="s">
        <v>42</v>
      </c>
      <c r="J104" t="s">
        <v>1014</v>
      </c>
    </row>
    <row r="105" spans="1:10" ht="15" customHeight="1" x14ac:dyDescent="0.35">
      <c r="A105" t="s">
        <v>278</v>
      </c>
      <c r="B105" t="s">
        <v>223</v>
      </c>
      <c r="C105" t="s">
        <v>279</v>
      </c>
      <c r="D105" t="s">
        <v>23</v>
      </c>
      <c r="E105" t="b">
        <f>IF(D105=(_xlfn.XLOOKUP(RISE_lawyers!$A105, All!$A$2:$A$158,All!H$2:H$158)), TRUE, FALSE)</f>
        <v>1</v>
      </c>
      <c r="F105" t="s">
        <v>24</v>
      </c>
      <c r="G105" t="b">
        <f>IF(F105=(_xlfn.XLOOKUP(RISE_lawyers!$A105, All!$A$2:$A$158,All!G$2:G$158)), TRUE, FALSE)</f>
        <v>1</v>
      </c>
      <c r="H105" t="s">
        <v>25</v>
      </c>
      <c r="J105" t="s">
        <v>992</v>
      </c>
    </row>
    <row r="106" spans="1:10" ht="15" customHeight="1" x14ac:dyDescent="0.35">
      <c r="A106" t="s">
        <v>280</v>
      </c>
      <c r="B106" t="s">
        <v>223</v>
      </c>
      <c r="C106" t="s">
        <v>281</v>
      </c>
      <c r="D106" t="s">
        <v>227</v>
      </c>
      <c r="E106" t="b">
        <f>IF(D106=(_xlfn.XLOOKUP(RISE_lawyers!$A106, All!$A$2:$A$158,All!H$2:H$158)), TRUE, FALSE)</f>
        <v>1</v>
      </c>
      <c r="F106" t="s">
        <v>24</v>
      </c>
      <c r="G106" t="b">
        <f>IF(F106=(_xlfn.XLOOKUP(RISE_lawyers!$A106, All!$A$2:$A$158,All!G$2:G$158)), TRUE, FALSE)</f>
        <v>1</v>
      </c>
      <c r="H106" t="s">
        <v>282</v>
      </c>
      <c r="J106" t="s">
        <v>1020</v>
      </c>
    </row>
    <row r="107" spans="1:10" ht="15" customHeight="1" x14ac:dyDescent="0.35">
      <c r="A107" t="s">
        <v>283</v>
      </c>
      <c r="B107" t="s">
        <v>223</v>
      </c>
      <c r="C107" t="s">
        <v>284</v>
      </c>
      <c r="D107" t="s">
        <v>23</v>
      </c>
      <c r="E107" t="b">
        <f>IF(D107=(_xlfn.XLOOKUP(RISE_lawyers!$A107, All!$A$2:$A$158,All!H$2:H$158)), TRUE, FALSE)</f>
        <v>1</v>
      </c>
      <c r="F107" t="s">
        <v>24</v>
      </c>
      <c r="G107" t="b">
        <f>IF(F107=(_xlfn.XLOOKUP(RISE_lawyers!$A107, All!$A$2:$A$158,All!G$2:G$158)), TRUE, FALSE)</f>
        <v>1</v>
      </c>
      <c r="H107" t="s">
        <v>285</v>
      </c>
      <c r="J107" t="s">
        <v>1016</v>
      </c>
    </row>
    <row r="108" spans="1:10" ht="15" customHeight="1" x14ac:dyDescent="0.35">
      <c r="A108" t="s">
        <v>286</v>
      </c>
      <c r="B108" t="s">
        <v>223</v>
      </c>
      <c r="C108" t="s">
        <v>287</v>
      </c>
      <c r="D108" t="s">
        <v>60</v>
      </c>
      <c r="E108" t="b">
        <f>IF(D108=(_xlfn.XLOOKUP(RISE_lawyers!$A108, All!$A$2:$A$158,All!H$2:H$158)), TRUE, FALSE)</f>
        <v>1</v>
      </c>
      <c r="F108" t="s">
        <v>24</v>
      </c>
      <c r="G108" t="b">
        <f>IF(F108=(_xlfn.XLOOKUP(RISE_lawyers!$A108, All!$A$2:$A$158,All!G$2:G$158)), TRUE, FALSE)</f>
        <v>1</v>
      </c>
      <c r="H108" t="s">
        <v>73</v>
      </c>
      <c r="J108" t="s">
        <v>992</v>
      </c>
    </row>
    <row r="109" spans="1:10" ht="15" customHeight="1" x14ac:dyDescent="0.35">
      <c r="A109" t="s">
        <v>288</v>
      </c>
      <c r="B109" t="s">
        <v>223</v>
      </c>
      <c r="C109" t="s">
        <v>289</v>
      </c>
      <c r="D109" t="s">
        <v>23</v>
      </c>
      <c r="E109" t="b">
        <f>IF(D109=(_xlfn.XLOOKUP(RISE_lawyers!$A109, All!$A$2:$A$158,All!H$2:H$158)), TRUE, FALSE)</f>
        <v>1</v>
      </c>
      <c r="F109" t="s">
        <v>57</v>
      </c>
      <c r="G109" t="b">
        <f>IF(F109=(_xlfn.XLOOKUP(RISE_lawyers!$A109, All!$A$2:$A$158,All!G$2:G$158)), TRUE, FALSE)</f>
        <v>1</v>
      </c>
      <c r="H109" t="s">
        <v>185</v>
      </c>
      <c r="J109" t="s">
        <v>992</v>
      </c>
    </row>
    <row r="110" spans="1:10" ht="15" customHeight="1" x14ac:dyDescent="0.35">
      <c r="A110" t="s">
        <v>290</v>
      </c>
      <c r="B110" t="s">
        <v>223</v>
      </c>
      <c r="C110" t="s">
        <v>291</v>
      </c>
      <c r="D110" t="s">
        <v>23</v>
      </c>
      <c r="E110" t="b">
        <f>IF(D110=(_xlfn.XLOOKUP(RISE_lawyers!$A110, All!$A$2:$A$158,All!H$2:H$158)), TRUE, FALSE)</f>
        <v>1</v>
      </c>
      <c r="F110" t="s">
        <v>24</v>
      </c>
      <c r="G110" t="b">
        <f>IF(F110=(_xlfn.XLOOKUP(RISE_lawyers!$A110, All!$A$2:$A$158,All!G$2:G$158)), TRUE, FALSE)</f>
        <v>1</v>
      </c>
      <c r="H110" t="s">
        <v>36</v>
      </c>
      <c r="J110" t="s">
        <v>992</v>
      </c>
    </row>
    <row r="111" spans="1:10" ht="15" customHeight="1" x14ac:dyDescent="0.35">
      <c r="A111" t="s">
        <v>292</v>
      </c>
      <c r="B111" t="s">
        <v>223</v>
      </c>
      <c r="C111" t="s">
        <v>293</v>
      </c>
      <c r="D111" t="s">
        <v>23</v>
      </c>
      <c r="E111" t="b">
        <f>IF(D111=(_xlfn.XLOOKUP(RISE_lawyers!$A111, All!$A$2:$A$158,All!H$2:H$158)), TRUE, FALSE)</f>
        <v>1</v>
      </c>
      <c r="F111" t="s">
        <v>24</v>
      </c>
      <c r="G111" t="b">
        <f>IF(F111=(_xlfn.XLOOKUP(RISE_lawyers!$A111, All!$A$2:$A$158,All!G$2:G$158)), TRUE, FALSE)</f>
        <v>1</v>
      </c>
      <c r="H111" t="s">
        <v>33</v>
      </c>
      <c r="J111" t="s">
        <v>992</v>
      </c>
    </row>
    <row r="112" spans="1:10" ht="15" customHeight="1" x14ac:dyDescent="0.35">
      <c r="A112" t="s">
        <v>294</v>
      </c>
      <c r="B112" t="s">
        <v>223</v>
      </c>
      <c r="C112" t="s">
        <v>295</v>
      </c>
      <c r="D112" t="s">
        <v>23</v>
      </c>
      <c r="E112" t="b">
        <f>IF(D112=(_xlfn.XLOOKUP(RISE_lawyers!$A112, All!$A$2:$A$158,All!H$2:H$158)), TRUE, FALSE)</f>
        <v>1</v>
      </c>
      <c r="F112" t="s">
        <v>24</v>
      </c>
      <c r="G112" t="b">
        <f>IF(F112=(_xlfn.XLOOKUP(RISE_lawyers!$A112, All!$A$2:$A$158,All!G$2:G$158)), TRUE, FALSE)</f>
        <v>1</v>
      </c>
      <c r="H112" t="s">
        <v>296</v>
      </c>
      <c r="J112" t="s">
        <v>1017</v>
      </c>
    </row>
    <row r="113" spans="1:10" ht="15" customHeight="1" x14ac:dyDescent="0.35">
      <c r="A113" t="s">
        <v>297</v>
      </c>
      <c r="B113" t="s">
        <v>223</v>
      </c>
      <c r="C113" t="s">
        <v>298</v>
      </c>
      <c r="D113" t="s">
        <v>23</v>
      </c>
      <c r="E113" t="b">
        <f>IF(D113=(_xlfn.XLOOKUP(RISE_lawyers!$A113, All!$A$2:$A$158,All!H$2:H$158)), TRUE, FALSE)</f>
        <v>1</v>
      </c>
      <c r="F113" t="s">
        <v>24</v>
      </c>
      <c r="G113" t="b">
        <f>IF(F113=(_xlfn.XLOOKUP(RISE_lawyers!$A113, All!$A$2:$A$158,All!G$2:G$158)), TRUE, FALSE)</f>
        <v>1</v>
      </c>
      <c r="H113" t="s">
        <v>36</v>
      </c>
      <c r="J113" t="s">
        <v>992</v>
      </c>
    </row>
    <row r="114" spans="1:10" ht="15" customHeight="1" x14ac:dyDescent="0.35">
      <c r="A114" t="s">
        <v>299</v>
      </c>
      <c r="B114" t="s">
        <v>223</v>
      </c>
      <c r="C114" t="s">
        <v>300</v>
      </c>
      <c r="D114" t="s">
        <v>301</v>
      </c>
      <c r="E114" t="b">
        <f>IF(D114=(_xlfn.XLOOKUP(RISE_lawyers!$A114, All!$A$2:$A$158,All!H$2:H$158)), TRUE, FALSE)</f>
        <v>1</v>
      </c>
      <c r="F114" t="s">
        <v>24</v>
      </c>
      <c r="G114" t="b">
        <f>IF(F114=(_xlfn.XLOOKUP(RISE_lawyers!$A114, All!$A$2:$A$158,All!G$2:G$158)), TRUE, FALSE)</f>
        <v>1</v>
      </c>
      <c r="H114" t="s">
        <v>166</v>
      </c>
      <c r="J114" t="s">
        <v>992</v>
      </c>
    </row>
    <row r="115" spans="1:10" ht="15" customHeight="1" x14ac:dyDescent="0.35">
      <c r="A115" t="s">
        <v>302</v>
      </c>
      <c r="B115" t="s">
        <v>223</v>
      </c>
      <c r="C115" t="s">
        <v>303</v>
      </c>
      <c r="D115" t="s">
        <v>23</v>
      </c>
      <c r="E115" t="b">
        <f>IF(D115=(_xlfn.XLOOKUP(RISE_lawyers!$A115, All!$A$2:$A$158,All!H$2:H$158)), TRUE, FALSE)</f>
        <v>1</v>
      </c>
      <c r="F115" t="s">
        <v>24</v>
      </c>
      <c r="G115" t="b">
        <f>IF(F115=(_xlfn.XLOOKUP(RISE_lawyers!$A115, All!$A$2:$A$158,All!G$2:G$158)), TRUE, FALSE)</f>
        <v>1</v>
      </c>
      <c r="H115" t="s">
        <v>119</v>
      </c>
      <c r="J115" t="s">
        <v>992</v>
      </c>
    </row>
    <row r="116" spans="1:10" ht="15" customHeight="1" x14ac:dyDescent="0.35">
      <c r="A116" t="s">
        <v>304</v>
      </c>
      <c r="B116" t="s">
        <v>223</v>
      </c>
      <c r="C116" t="s">
        <v>305</v>
      </c>
      <c r="D116" t="s">
        <v>23</v>
      </c>
      <c r="E116" t="b">
        <f>IF(D116=(_xlfn.XLOOKUP(RISE_lawyers!$A116, All!$A$2:$A$158,All!H$2:H$158)), TRUE, FALSE)</f>
        <v>1</v>
      </c>
      <c r="F116" t="s">
        <v>24</v>
      </c>
      <c r="G116" t="b">
        <f>IF(F116=(_xlfn.XLOOKUP(RISE_lawyers!$A116, All!$A$2:$A$158,All!G$2:G$158)), TRUE, FALSE)</f>
        <v>1</v>
      </c>
      <c r="H116" t="s">
        <v>306</v>
      </c>
      <c r="J116" t="s">
        <v>992</v>
      </c>
    </row>
    <row r="117" spans="1:10" ht="15" customHeight="1" x14ac:dyDescent="0.35">
      <c r="A117" t="s">
        <v>307</v>
      </c>
      <c r="B117" t="s">
        <v>223</v>
      </c>
      <c r="C117" t="s">
        <v>308</v>
      </c>
      <c r="D117" t="s">
        <v>23</v>
      </c>
      <c r="E117" t="b">
        <f>IF(D117=(_xlfn.XLOOKUP(RISE_lawyers!$A117, All!$A$2:$A$158,All!H$2:H$158)), TRUE, FALSE)</f>
        <v>1</v>
      </c>
      <c r="F117" t="s">
        <v>24</v>
      </c>
      <c r="G117" t="b">
        <f>IF(F117=(_xlfn.XLOOKUP(RISE_lawyers!$A117, All!$A$2:$A$158,All!G$2:G$158)), TRUE, FALSE)</f>
        <v>1</v>
      </c>
      <c r="H117" t="s">
        <v>42</v>
      </c>
      <c r="J117" t="s">
        <v>992</v>
      </c>
    </row>
    <row r="118" spans="1:10" ht="15" customHeight="1" x14ac:dyDescent="0.35">
      <c r="A118" t="s">
        <v>309</v>
      </c>
      <c r="B118" t="s">
        <v>223</v>
      </c>
      <c r="C118" t="s">
        <v>310</v>
      </c>
      <c r="D118" t="s">
        <v>23</v>
      </c>
      <c r="E118" t="b">
        <f>IF(D118=(_xlfn.XLOOKUP(RISE_lawyers!$A118, All!$A$2:$A$158,All!H$2:H$158)), TRUE, FALSE)</f>
        <v>1</v>
      </c>
      <c r="F118" t="s">
        <v>24</v>
      </c>
      <c r="G118" t="b">
        <f>IF(F118=(_xlfn.XLOOKUP(RISE_lawyers!$A118, All!$A$2:$A$158,All!G$2:G$158)), TRUE, FALSE)</f>
        <v>1</v>
      </c>
      <c r="H118" t="s">
        <v>48</v>
      </c>
      <c r="J118" t="s">
        <v>992</v>
      </c>
    </row>
    <row r="119" spans="1:10" ht="15" customHeight="1" x14ac:dyDescent="0.35">
      <c r="A119" t="s">
        <v>311</v>
      </c>
      <c r="B119" t="s">
        <v>223</v>
      </c>
      <c r="C119" t="s">
        <v>312</v>
      </c>
      <c r="D119" t="s">
        <v>23</v>
      </c>
      <c r="E119" t="b">
        <f>IF(D119=(_xlfn.XLOOKUP(RISE_lawyers!$A119, All!$A$2:$A$158,All!H$2:H$158)), TRUE, FALSE)</f>
        <v>1</v>
      </c>
      <c r="F119" t="s">
        <v>24</v>
      </c>
      <c r="G119" t="b">
        <f>IF(F119=(_xlfn.XLOOKUP(RISE_lawyers!$A119, All!$A$2:$A$158,All!G$2:G$158)), TRUE, FALSE)</f>
        <v>1</v>
      </c>
      <c r="H119" t="s">
        <v>36</v>
      </c>
      <c r="J119" t="s">
        <v>992</v>
      </c>
    </row>
    <row r="120" spans="1:10" ht="15" customHeight="1" x14ac:dyDescent="0.35">
      <c r="A120" t="s">
        <v>313</v>
      </c>
      <c r="B120" t="s">
        <v>314</v>
      </c>
      <c r="C120" t="s">
        <v>315</v>
      </c>
      <c r="D120" t="s">
        <v>23</v>
      </c>
      <c r="E120" t="b">
        <f>IF(D120=(_xlfn.XLOOKUP(RISE_lawyers!$A120, All!$A$2:$A$158,All!H$2:H$158)), TRUE, FALSE)</f>
        <v>1</v>
      </c>
      <c r="F120" t="s">
        <v>24</v>
      </c>
      <c r="G120" t="b">
        <f>IF(F120=(_xlfn.XLOOKUP(RISE_lawyers!$A120, All!$A$2:$A$158,All!G$2:G$158)), TRUE, FALSE)</f>
        <v>1</v>
      </c>
      <c r="H120" t="s">
        <v>282</v>
      </c>
      <c r="J120" t="s">
        <v>1016</v>
      </c>
    </row>
    <row r="121" spans="1:10" ht="15" customHeight="1" x14ac:dyDescent="0.35">
      <c r="A121" t="s">
        <v>316</v>
      </c>
      <c r="B121" t="s">
        <v>314</v>
      </c>
      <c r="C121" t="s">
        <v>317</v>
      </c>
      <c r="D121" t="s">
        <v>23</v>
      </c>
      <c r="E121" t="b">
        <f>IF(D121=(_xlfn.XLOOKUP(RISE_lawyers!$A121, All!$A$2:$A$158,All!H$2:H$158)), TRUE, FALSE)</f>
        <v>1</v>
      </c>
      <c r="F121" t="s">
        <v>24</v>
      </c>
      <c r="G121" t="b">
        <f>IF(F121=(_xlfn.XLOOKUP(RISE_lawyers!$A121, All!$A$2:$A$158,All!G$2:G$158)), TRUE, FALSE)</f>
        <v>1</v>
      </c>
      <c r="H121" t="s">
        <v>185</v>
      </c>
      <c r="J121" t="s">
        <v>992</v>
      </c>
    </row>
    <row r="122" spans="1:10" ht="15" customHeight="1" x14ac:dyDescent="0.35">
      <c r="A122" t="s">
        <v>318</v>
      </c>
      <c r="B122" t="s">
        <v>319</v>
      </c>
      <c r="C122" t="s">
        <v>320</v>
      </c>
      <c r="D122" t="s">
        <v>67</v>
      </c>
      <c r="E122" t="b">
        <f>IF(D122=(_xlfn.XLOOKUP(RISE_lawyers!$A122, All!$A$2:$A$158,All!H$2:H$158)), TRUE, FALSE)</f>
        <v>1</v>
      </c>
      <c r="F122" t="s">
        <v>57</v>
      </c>
      <c r="G122" t="b">
        <f>IF(F122=(_xlfn.XLOOKUP(RISE_lawyers!$A122, All!$A$2:$A$158,All!G$2:G$158)), TRUE, FALSE)</f>
        <v>1</v>
      </c>
      <c r="H122" t="s">
        <v>321</v>
      </c>
    </row>
    <row r="123" spans="1:10" ht="15" customHeight="1" x14ac:dyDescent="0.35">
      <c r="A123" t="s">
        <v>322</v>
      </c>
      <c r="B123" t="s">
        <v>319</v>
      </c>
      <c r="C123" t="s">
        <v>323</v>
      </c>
      <c r="D123" t="s">
        <v>23</v>
      </c>
      <c r="E123" t="b">
        <f>IF(D123=(_xlfn.XLOOKUP(RISE_lawyers!$A123, All!$A$2:$A$158,All!H$2:H$158)), TRUE, FALSE)</f>
        <v>1</v>
      </c>
      <c r="F123" t="s">
        <v>24</v>
      </c>
      <c r="G123" t="b">
        <f>IF(F123=(_xlfn.XLOOKUP(RISE_lawyers!$A123, All!$A$2:$A$158,All!G$2:G$158)), TRUE, FALSE)</f>
        <v>1</v>
      </c>
      <c r="H123" t="s">
        <v>324</v>
      </c>
    </row>
    <row r="124" spans="1:10" ht="15" customHeight="1" x14ac:dyDescent="0.35">
      <c r="A124" t="s">
        <v>325</v>
      </c>
      <c r="B124" t="s">
        <v>319</v>
      </c>
      <c r="C124" t="s">
        <v>326</v>
      </c>
      <c r="D124" t="s">
        <v>23</v>
      </c>
      <c r="E124" t="b">
        <f>IF(D124=(_xlfn.XLOOKUP(RISE_lawyers!$A124, All!$A$2:$A$158,All!H$2:H$158)), TRUE, FALSE)</f>
        <v>1</v>
      </c>
      <c r="F124" t="s">
        <v>57</v>
      </c>
      <c r="G124" t="b">
        <f>IF(F124=(_xlfn.XLOOKUP(RISE_lawyers!$A124, All!$A$2:$A$158,All!G$2:G$158)), TRUE, FALSE)</f>
        <v>1</v>
      </c>
      <c r="H124" t="s">
        <v>48</v>
      </c>
    </row>
    <row r="125" spans="1:10" ht="15" customHeight="1" x14ac:dyDescent="0.35">
      <c r="A125" t="s">
        <v>327</v>
      </c>
      <c r="B125" t="s">
        <v>319</v>
      </c>
      <c r="C125" t="s">
        <v>328</v>
      </c>
      <c r="D125" t="s">
        <v>995</v>
      </c>
      <c r="E125" t="b">
        <f>IF(D125=(_xlfn.XLOOKUP(RISE_lawyers!$A125, All!$A$2:$A$158,All!H$2:H$158)), TRUE, FALSE)</f>
        <v>1</v>
      </c>
      <c r="F125" t="s">
        <v>57</v>
      </c>
      <c r="G125" t="b">
        <f>IF(F125=(_xlfn.XLOOKUP(RISE_lawyers!$A125, All!$A$2:$A$158,All!G$2:G$158)), TRUE, FALSE)</f>
        <v>1</v>
      </c>
      <c r="H125" t="s">
        <v>48</v>
      </c>
      <c r="J125" t="s">
        <v>1021</v>
      </c>
    </row>
    <row r="126" spans="1:10" ht="15" customHeight="1" x14ac:dyDescent="0.35">
      <c r="A126" t="s">
        <v>329</v>
      </c>
      <c r="B126" t="s">
        <v>319</v>
      </c>
      <c r="C126" t="s">
        <v>330</v>
      </c>
      <c r="D126" t="s">
        <v>23</v>
      </c>
      <c r="E126" t="b">
        <f>IF(D126=(_xlfn.XLOOKUP(RISE_lawyers!$A126, All!$A$2:$A$158,All!H$2:H$158)), TRUE, FALSE)</f>
        <v>1</v>
      </c>
      <c r="F126" t="s">
        <v>24</v>
      </c>
      <c r="G126" t="b">
        <f>IF(F126=(_xlfn.XLOOKUP(RISE_lawyers!$A126, All!$A$2:$A$158,All!G$2:G$158)), TRUE, FALSE)</f>
        <v>1</v>
      </c>
      <c r="H126" t="s">
        <v>25</v>
      </c>
    </row>
    <row r="127" spans="1:10" ht="15" customHeight="1" x14ac:dyDescent="0.35">
      <c r="A127" t="s">
        <v>331</v>
      </c>
      <c r="B127" t="s">
        <v>319</v>
      </c>
      <c r="C127" t="s">
        <v>332</v>
      </c>
      <c r="D127" t="s">
        <v>23</v>
      </c>
      <c r="E127" t="b">
        <f>IF(D127=(_xlfn.XLOOKUP(RISE_lawyers!$A127, All!$A$2:$A$158,All!H$2:H$158)), TRUE, FALSE)</f>
        <v>1</v>
      </c>
      <c r="F127" t="s">
        <v>57</v>
      </c>
      <c r="G127" t="b">
        <f>IF(F127=(_xlfn.XLOOKUP(RISE_lawyers!$A127, All!$A$2:$A$158,All!G$2:G$158)), TRUE, FALSE)</f>
        <v>1</v>
      </c>
      <c r="H127" t="s">
        <v>36</v>
      </c>
    </row>
    <row r="128" spans="1:10" ht="15" customHeight="1" x14ac:dyDescent="0.35">
      <c r="A128" t="s">
        <v>333</v>
      </c>
      <c r="B128" t="s">
        <v>319</v>
      </c>
      <c r="C128" t="s">
        <v>334</v>
      </c>
      <c r="D128" t="s">
        <v>23</v>
      </c>
      <c r="E128" t="b">
        <f>IF(D128=(_xlfn.XLOOKUP(RISE_lawyers!$A128, All!$A$2:$A$158,All!H$2:H$158)), TRUE, FALSE)</f>
        <v>1</v>
      </c>
      <c r="F128" t="s">
        <v>57</v>
      </c>
      <c r="G128" t="b">
        <f>IF(F128=(_xlfn.XLOOKUP(RISE_lawyers!$A128, All!$A$2:$A$158,All!G$2:G$158)), TRUE, FALSE)</f>
        <v>1</v>
      </c>
      <c r="H128" t="s">
        <v>33</v>
      </c>
    </row>
    <row r="129" spans="1:8" ht="15" customHeight="1" x14ac:dyDescent="0.35">
      <c r="A129" t="s">
        <v>335</v>
      </c>
      <c r="B129" t="s">
        <v>319</v>
      </c>
      <c r="C129" t="s">
        <v>336</v>
      </c>
      <c r="D129" t="s">
        <v>23</v>
      </c>
      <c r="E129" t="b">
        <f>IF(D129=(_xlfn.XLOOKUP(RISE_lawyers!$A129, All!$A$2:$A$158,All!H$2:H$158)), TRUE, FALSE)</f>
        <v>1</v>
      </c>
      <c r="F129" t="s">
        <v>57</v>
      </c>
      <c r="G129" t="b">
        <f>IF(F129=(_xlfn.XLOOKUP(RISE_lawyers!$A129, All!$A$2:$A$158,All!G$2:G$158)), TRUE, FALSE)</f>
        <v>1</v>
      </c>
      <c r="H129" t="s">
        <v>33</v>
      </c>
    </row>
    <row r="130" spans="1:8" ht="15" customHeight="1" x14ac:dyDescent="0.35">
      <c r="A130" t="s">
        <v>337</v>
      </c>
      <c r="B130" t="s">
        <v>319</v>
      </c>
      <c r="C130" t="s">
        <v>338</v>
      </c>
      <c r="D130" t="s">
        <v>63</v>
      </c>
      <c r="E130" t="b">
        <f>IF(D130=(_xlfn.XLOOKUP(RISE_lawyers!$A130, All!$A$2:$A$158,All!H$2:H$158)), TRUE, FALSE)</f>
        <v>1</v>
      </c>
      <c r="F130" t="s">
        <v>57</v>
      </c>
      <c r="G130" t="b">
        <f>IF(F130=(_xlfn.XLOOKUP(RISE_lawyers!$A130, All!$A$2:$A$158,All!G$2:G$158)), TRUE, FALSE)</f>
        <v>1</v>
      </c>
      <c r="H130" t="s">
        <v>321</v>
      </c>
    </row>
    <row r="131" spans="1:8" ht="15" customHeight="1" x14ac:dyDescent="0.35">
      <c r="A131" t="s">
        <v>339</v>
      </c>
      <c r="B131" t="s">
        <v>319</v>
      </c>
      <c r="C131" t="s">
        <v>340</v>
      </c>
      <c r="D131" t="s">
        <v>23</v>
      </c>
      <c r="E131" t="b">
        <f>IF(D131=(_xlfn.XLOOKUP(RISE_lawyers!$A131, All!$A$2:$A$158,All!H$2:H$158)), TRUE, FALSE)</f>
        <v>1</v>
      </c>
      <c r="F131" t="s">
        <v>57</v>
      </c>
      <c r="G131" t="b">
        <f>IF(F131=(_xlfn.XLOOKUP(RISE_lawyers!$A131, All!$A$2:$A$158,All!G$2:G$158)), TRUE, FALSE)</f>
        <v>1</v>
      </c>
      <c r="H131" t="s">
        <v>306</v>
      </c>
    </row>
    <row r="132" spans="1:8" ht="15" customHeight="1" x14ac:dyDescent="0.35">
      <c r="A132" t="s">
        <v>341</v>
      </c>
      <c r="B132" t="s">
        <v>319</v>
      </c>
      <c r="C132" t="s">
        <v>342</v>
      </c>
      <c r="D132" t="s">
        <v>23</v>
      </c>
      <c r="E132" t="b">
        <f>IF(D132=(_xlfn.XLOOKUP(RISE_lawyers!$A132, All!$A$2:$A$158,All!H$2:H$158)), TRUE, FALSE)</f>
        <v>1</v>
      </c>
      <c r="F132" t="s">
        <v>57</v>
      </c>
      <c r="G132" t="b">
        <f>IF(F132=(_xlfn.XLOOKUP(RISE_lawyers!$A132, All!$A$2:$A$158,All!G$2:G$158)), TRUE, FALSE)</f>
        <v>1</v>
      </c>
      <c r="H132" t="s">
        <v>343</v>
      </c>
    </row>
    <row r="133" spans="1:8" ht="15" customHeight="1" x14ac:dyDescent="0.35">
      <c r="A133" t="s">
        <v>344</v>
      </c>
      <c r="B133" t="s">
        <v>319</v>
      </c>
      <c r="C133" t="s">
        <v>345</v>
      </c>
      <c r="D133" t="s">
        <v>23</v>
      </c>
      <c r="E133" t="b">
        <f>IF(D133=(_xlfn.XLOOKUP(RISE_lawyers!$A133, All!$A$2:$A$158,All!H$2:H$158)), TRUE, FALSE)</f>
        <v>1</v>
      </c>
      <c r="F133" t="s">
        <v>57</v>
      </c>
      <c r="G133" t="b">
        <f>IF(F133=(_xlfn.XLOOKUP(RISE_lawyers!$A133, All!$A$2:$A$158,All!G$2:G$158)), TRUE, FALSE)</f>
        <v>1</v>
      </c>
      <c r="H133" t="s">
        <v>33</v>
      </c>
    </row>
    <row r="134" spans="1:8" ht="15" customHeight="1" x14ac:dyDescent="0.35">
      <c r="A134" t="s">
        <v>346</v>
      </c>
      <c r="B134" t="s">
        <v>319</v>
      </c>
      <c r="C134" t="s">
        <v>347</v>
      </c>
      <c r="D134" t="s">
        <v>23</v>
      </c>
      <c r="E134" t="b">
        <f>IF(D134=(_xlfn.XLOOKUP(RISE_lawyers!$A134, All!$A$2:$A$158,All!H$2:H$158)), TRUE, FALSE)</f>
        <v>1</v>
      </c>
      <c r="F134" t="s">
        <v>57</v>
      </c>
      <c r="G134" t="b">
        <f>IF(F134=(_xlfn.XLOOKUP(RISE_lawyers!$A134, All!$A$2:$A$158,All!G$2:G$158)), TRUE, FALSE)</f>
        <v>1</v>
      </c>
      <c r="H134" t="s">
        <v>42</v>
      </c>
    </row>
    <row r="135" spans="1:8" ht="15" customHeight="1" x14ac:dyDescent="0.35">
      <c r="A135" t="s">
        <v>348</v>
      </c>
      <c r="B135" t="s">
        <v>319</v>
      </c>
      <c r="C135" t="s">
        <v>349</v>
      </c>
      <c r="D135" t="s">
        <v>23</v>
      </c>
      <c r="E135" t="b">
        <f>IF(D135=(_xlfn.XLOOKUP(RISE_lawyers!$A135, All!$A$2:$A$158,All!H$2:H$158)), TRUE, FALSE)</f>
        <v>1</v>
      </c>
      <c r="F135" t="s">
        <v>39</v>
      </c>
      <c r="G135" t="b">
        <f>IF(F135=(_xlfn.XLOOKUP(RISE_lawyers!$A135, All!$A$2:$A$158,All!G$2:G$158)), TRUE, FALSE)</f>
        <v>1</v>
      </c>
      <c r="H135" t="s">
        <v>36</v>
      </c>
    </row>
    <row r="136" spans="1:8" ht="15" customHeight="1" x14ac:dyDescent="0.35">
      <c r="A136" t="s">
        <v>350</v>
      </c>
      <c r="B136" t="s">
        <v>319</v>
      </c>
      <c r="C136" t="s">
        <v>351</v>
      </c>
      <c r="D136" t="s">
        <v>23</v>
      </c>
      <c r="E136" t="b">
        <f>IF(D136=(_xlfn.XLOOKUP(RISE_lawyers!$A136, All!$A$2:$A$158,All!H$2:H$158)), TRUE, FALSE)</f>
        <v>1</v>
      </c>
      <c r="F136" t="s">
        <v>24</v>
      </c>
      <c r="G136" t="b">
        <f>IF(F136=(_xlfn.XLOOKUP(RISE_lawyers!$A136, All!$A$2:$A$158,All!G$2:G$158)), TRUE, FALSE)</f>
        <v>1</v>
      </c>
      <c r="H136" t="s">
        <v>352</v>
      </c>
    </row>
    <row r="137" spans="1:8" ht="15" customHeight="1" x14ac:dyDescent="0.35">
      <c r="A137" t="s">
        <v>353</v>
      </c>
      <c r="B137" t="s">
        <v>319</v>
      </c>
      <c r="C137" t="s">
        <v>354</v>
      </c>
      <c r="D137" t="s">
        <v>23</v>
      </c>
      <c r="E137" t="b">
        <f>IF(D137=(_xlfn.XLOOKUP(RISE_lawyers!$A137, All!$A$2:$A$158,All!H$2:H$158)), TRUE, FALSE)</f>
        <v>1</v>
      </c>
      <c r="F137" t="s">
        <v>57</v>
      </c>
      <c r="G137" t="b">
        <f>IF(F137=(_xlfn.XLOOKUP(RISE_lawyers!$A137, All!$A$2:$A$158,All!G$2:G$158)), TRUE, FALSE)</f>
        <v>1</v>
      </c>
      <c r="H137" t="s">
        <v>42</v>
      </c>
    </row>
    <row r="138" spans="1:8" ht="15" customHeight="1" x14ac:dyDescent="0.35">
      <c r="A138" t="s">
        <v>355</v>
      </c>
      <c r="B138" t="s">
        <v>319</v>
      </c>
      <c r="C138" t="s">
        <v>356</v>
      </c>
      <c r="D138" t="s">
        <v>23</v>
      </c>
      <c r="E138" t="b">
        <f>IF(D138=(_xlfn.XLOOKUP(RISE_lawyers!$A138, All!$A$2:$A$158,All!H$2:H$158)), TRUE, FALSE)</f>
        <v>1</v>
      </c>
      <c r="F138" t="s">
        <v>24</v>
      </c>
      <c r="G138" t="b">
        <f>IF(F138=(_xlfn.XLOOKUP(RISE_lawyers!$A138, All!$A$2:$A$158,All!G$2:G$158)), TRUE, FALSE)</f>
        <v>1</v>
      </c>
      <c r="H138" t="s">
        <v>306</v>
      </c>
    </row>
    <row r="139" spans="1:8" ht="15" customHeight="1" x14ac:dyDescent="0.35">
      <c r="A139" t="s">
        <v>357</v>
      </c>
      <c r="B139" t="s">
        <v>319</v>
      </c>
      <c r="C139" t="s">
        <v>358</v>
      </c>
      <c r="D139" t="s">
        <v>23</v>
      </c>
      <c r="E139" t="b">
        <f>IF(D139=(_xlfn.XLOOKUP(RISE_lawyers!$A139, All!$A$2:$A$158,All!H$2:H$158)), TRUE, FALSE)</f>
        <v>1</v>
      </c>
      <c r="F139" t="s">
        <v>24</v>
      </c>
      <c r="G139" t="b">
        <f>IF(F139=(_xlfn.XLOOKUP(RISE_lawyers!$A139, All!$A$2:$A$158,All!G$2:G$158)), TRUE, FALSE)</f>
        <v>1</v>
      </c>
      <c r="H139" t="s">
        <v>343</v>
      </c>
    </row>
    <row r="140" spans="1:8" ht="15" customHeight="1" x14ac:dyDescent="0.35">
      <c r="A140" t="s">
        <v>359</v>
      </c>
      <c r="B140" t="s">
        <v>319</v>
      </c>
      <c r="C140" t="s">
        <v>360</v>
      </c>
      <c r="D140" t="s">
        <v>23</v>
      </c>
      <c r="E140" t="b">
        <f>IF(D140=(_xlfn.XLOOKUP(RISE_lawyers!$A140, All!$A$2:$A$158,All!H$2:H$158)), TRUE, FALSE)</f>
        <v>1</v>
      </c>
      <c r="F140" t="s">
        <v>361</v>
      </c>
      <c r="G140" t="b">
        <f>IF(F140=(_xlfn.XLOOKUP(RISE_lawyers!$A140, All!$A$2:$A$158,All!G$2:G$158)), TRUE, FALSE)</f>
        <v>1</v>
      </c>
      <c r="H140" t="s">
        <v>25</v>
      </c>
    </row>
    <row r="141" spans="1:8" ht="15" customHeight="1" x14ac:dyDescent="0.35">
      <c r="A141" t="s">
        <v>362</v>
      </c>
      <c r="B141" t="s">
        <v>319</v>
      </c>
      <c r="C141" t="s">
        <v>363</v>
      </c>
      <c r="D141" t="s">
        <v>23</v>
      </c>
      <c r="E141" t="b">
        <f>IF(D141=(_xlfn.XLOOKUP(RISE_lawyers!$A141, All!$A$2:$A$158,All!H$2:H$158)), TRUE, FALSE)</f>
        <v>1</v>
      </c>
      <c r="F141" t="s">
        <v>57</v>
      </c>
      <c r="G141" t="b">
        <f>IF(F141=(_xlfn.XLOOKUP(RISE_lawyers!$A141, All!$A$2:$A$158,All!G$2:G$158)), TRUE, FALSE)</f>
        <v>1</v>
      </c>
      <c r="H141" t="s">
        <v>364</v>
      </c>
    </row>
    <row r="142" spans="1:8" ht="15" customHeight="1" x14ac:dyDescent="0.35">
      <c r="A142" t="s">
        <v>365</v>
      </c>
      <c r="B142" t="s">
        <v>366</v>
      </c>
      <c r="C142" t="s">
        <v>367</v>
      </c>
      <c r="D142" t="s">
        <v>23</v>
      </c>
      <c r="E142" t="b">
        <f>IF(D142=(_xlfn.XLOOKUP(RISE_lawyers!$A142, All!$A$2:$A$158,All!H$2:H$158)), TRUE, FALSE)</f>
        <v>1</v>
      </c>
      <c r="F142" t="s">
        <v>24</v>
      </c>
      <c r="G142" t="b">
        <f>IF(F142=(_xlfn.XLOOKUP(RISE_lawyers!$A142, All!$A$2:$A$158,All!G$2:G$158)), TRUE, FALSE)</f>
        <v>1</v>
      </c>
      <c r="H142" t="s">
        <v>166</v>
      </c>
    </row>
    <row r="143" spans="1:8" ht="15" customHeight="1" x14ac:dyDescent="0.35">
      <c r="A143" t="s">
        <v>368</v>
      </c>
      <c r="B143" t="s">
        <v>366</v>
      </c>
      <c r="C143" t="s">
        <v>369</v>
      </c>
      <c r="D143" t="s">
        <v>23</v>
      </c>
      <c r="E143" t="b">
        <f>IF(D143=(_xlfn.XLOOKUP(RISE_lawyers!$A143, All!$A$2:$A$158,All!H$2:H$158)), TRUE, FALSE)</f>
        <v>1</v>
      </c>
      <c r="F143" t="s">
        <v>24</v>
      </c>
      <c r="G143" t="b">
        <f>IF(F143=(_xlfn.XLOOKUP(RISE_lawyers!$A143, All!$A$2:$A$158,All!G$2:G$158)), TRUE, FALSE)</f>
        <v>1</v>
      </c>
      <c r="H143" t="s">
        <v>275</v>
      </c>
    </row>
    <row r="144" spans="1:8" ht="15" customHeight="1" x14ac:dyDescent="0.35">
      <c r="A144" t="s">
        <v>370</v>
      </c>
      <c r="B144" t="s">
        <v>366</v>
      </c>
      <c r="C144" t="s">
        <v>371</v>
      </c>
      <c r="D144" t="s">
        <v>23</v>
      </c>
      <c r="E144" t="b">
        <f>IF(D144=(_xlfn.XLOOKUP(RISE_lawyers!$A144, All!$A$2:$A$158,All!H$2:H$158)), TRUE, FALSE)</f>
        <v>1</v>
      </c>
      <c r="F144" t="s">
        <v>24</v>
      </c>
      <c r="G144" t="b">
        <f>IF(F144=(_xlfn.XLOOKUP(RISE_lawyers!$A144, All!$A$2:$A$158,All!G$2:G$158)), TRUE, FALSE)</f>
        <v>1</v>
      </c>
      <c r="H144" t="s">
        <v>372</v>
      </c>
    </row>
    <row r="145" spans="1:10" ht="15" customHeight="1" x14ac:dyDescent="0.35">
      <c r="A145" t="s">
        <v>373</v>
      </c>
      <c r="B145" t="s">
        <v>366</v>
      </c>
      <c r="C145" t="s">
        <v>374</v>
      </c>
      <c r="D145" t="s">
        <v>23</v>
      </c>
      <c r="E145" t="b">
        <f>IF(D145=(_xlfn.XLOOKUP(RISE_lawyers!$A145, All!$A$2:$A$158,All!H$2:H$158)), TRUE, FALSE)</f>
        <v>1</v>
      </c>
      <c r="F145" t="s">
        <v>24</v>
      </c>
      <c r="G145" t="b">
        <f>IF(F145=(_xlfn.XLOOKUP(RISE_lawyers!$A145, All!$A$2:$A$158,All!G$2:G$158)), TRUE, FALSE)</f>
        <v>1</v>
      </c>
      <c r="H145" t="s">
        <v>352</v>
      </c>
    </row>
    <row r="146" spans="1:10" ht="15" customHeight="1" x14ac:dyDescent="0.35">
      <c r="A146" t="s">
        <v>375</v>
      </c>
      <c r="B146" t="s">
        <v>366</v>
      </c>
      <c r="C146" t="s">
        <v>376</v>
      </c>
      <c r="D146" t="s">
        <v>23</v>
      </c>
      <c r="E146" t="b">
        <f>IF(D146=(_xlfn.XLOOKUP(RISE_lawyers!$A146, All!$A$2:$A$158,All!H$2:H$158)), TRUE, FALSE)</f>
        <v>1</v>
      </c>
      <c r="F146" t="s">
        <v>24</v>
      </c>
      <c r="G146" t="b">
        <f>IF(F146=(_xlfn.XLOOKUP(RISE_lawyers!$A146, All!$A$2:$A$158,All!G$2:G$158)), TRUE, FALSE)</f>
        <v>1</v>
      </c>
      <c r="H146" t="s">
        <v>228</v>
      </c>
      <c r="J146" t="s">
        <v>1024</v>
      </c>
    </row>
    <row r="147" spans="1:10" ht="15" customHeight="1" x14ac:dyDescent="0.35">
      <c r="A147" t="s">
        <v>377</v>
      </c>
      <c r="B147" t="s">
        <v>366</v>
      </c>
      <c r="C147" t="s">
        <v>378</v>
      </c>
      <c r="D147" t="s">
        <v>23</v>
      </c>
      <c r="E147" t="b">
        <f>IF(D147=(_xlfn.XLOOKUP(RISE_lawyers!$A147, All!$A$2:$A$158,All!H$2:H$158)), TRUE, FALSE)</f>
        <v>1</v>
      </c>
      <c r="F147" t="s">
        <v>24</v>
      </c>
      <c r="G147" t="b">
        <f>IF(F147=(_xlfn.XLOOKUP(RISE_lawyers!$A147, All!$A$2:$A$158,All!G$2:G$158)), TRUE, FALSE)</f>
        <v>1</v>
      </c>
      <c r="H147" t="s">
        <v>25</v>
      </c>
    </row>
    <row r="148" spans="1:10" ht="15" customHeight="1" x14ac:dyDescent="0.35">
      <c r="A148" t="s">
        <v>379</v>
      </c>
      <c r="B148" t="s">
        <v>366</v>
      </c>
      <c r="C148" t="s">
        <v>380</v>
      </c>
      <c r="D148" t="s">
        <v>23</v>
      </c>
      <c r="E148" t="b">
        <f>IF(D148=(_xlfn.XLOOKUP(RISE_lawyers!$A148, All!$A$2:$A$158,All!H$2:H$158)), TRUE, FALSE)</f>
        <v>1</v>
      </c>
      <c r="F148" t="s">
        <v>24</v>
      </c>
      <c r="G148" t="b">
        <f>IF(F148=(_xlfn.XLOOKUP(RISE_lawyers!$A148, All!$A$2:$A$158,All!G$2:G$158)), TRUE, FALSE)</f>
        <v>1</v>
      </c>
      <c r="H148" t="s">
        <v>275</v>
      </c>
      <c r="J148" t="s">
        <v>1023</v>
      </c>
    </row>
    <row r="149" spans="1:10" ht="15" customHeight="1" x14ac:dyDescent="0.35">
      <c r="A149" t="s">
        <v>381</v>
      </c>
      <c r="B149" t="s">
        <v>366</v>
      </c>
      <c r="C149" t="s">
        <v>382</v>
      </c>
      <c r="D149" t="s">
        <v>23</v>
      </c>
      <c r="E149" t="b">
        <f>IF(D149=(_xlfn.XLOOKUP(RISE_lawyers!$A149, All!$A$2:$A$158,All!H$2:H$158)), TRUE, FALSE)</f>
        <v>1</v>
      </c>
      <c r="F149" t="s">
        <v>24</v>
      </c>
      <c r="G149" t="b">
        <f>IF(F149=(_xlfn.XLOOKUP(RISE_lawyers!$A149, All!$A$2:$A$158,All!G$2:G$158)), TRUE, FALSE)</f>
        <v>1</v>
      </c>
      <c r="H149" t="s">
        <v>33</v>
      </c>
    </row>
    <row r="150" spans="1:10" ht="15" customHeight="1" x14ac:dyDescent="0.35">
      <c r="A150" t="s">
        <v>383</v>
      </c>
      <c r="B150" t="s">
        <v>366</v>
      </c>
      <c r="C150" t="s">
        <v>384</v>
      </c>
      <c r="D150" t="s">
        <v>23</v>
      </c>
      <c r="E150" t="b">
        <f>IF(D150=(_xlfn.XLOOKUP(RISE_lawyers!$A150, All!$A$2:$A$158,All!H$2:H$158)), TRUE, FALSE)</f>
        <v>1</v>
      </c>
      <c r="F150" t="s">
        <v>39</v>
      </c>
      <c r="G150" t="b">
        <f>IF(F150=(_xlfn.XLOOKUP(RISE_lawyers!$A150, All!$A$2:$A$158,All!G$2:G$158)), TRUE, FALSE)</f>
        <v>1</v>
      </c>
      <c r="H150" t="s">
        <v>25</v>
      </c>
    </row>
    <row r="151" spans="1:10" ht="15" customHeight="1" x14ac:dyDescent="0.35">
      <c r="A151" t="s">
        <v>385</v>
      </c>
      <c r="B151" t="s">
        <v>366</v>
      </c>
      <c r="C151" t="s">
        <v>386</v>
      </c>
      <c r="D151" t="s">
        <v>23</v>
      </c>
      <c r="E151" t="b">
        <f>IF(D151=(_xlfn.XLOOKUP(RISE_lawyers!$A151, All!$A$2:$A$158,All!H$2:H$158)), TRUE, FALSE)</f>
        <v>1</v>
      </c>
      <c r="F151" t="s">
        <v>39</v>
      </c>
      <c r="G151" t="b">
        <f>IF(F151=(_xlfn.XLOOKUP(RISE_lawyers!$A151, All!$A$2:$A$158,All!G$2:G$158)), TRUE, FALSE)</f>
        <v>1</v>
      </c>
      <c r="H151" t="s">
        <v>387</v>
      </c>
      <c r="J151" t="s">
        <v>1025</v>
      </c>
    </row>
    <row r="152" spans="1:10" ht="15" customHeight="1" x14ac:dyDescent="0.35">
      <c r="A152" t="s">
        <v>388</v>
      </c>
      <c r="B152" t="s">
        <v>366</v>
      </c>
      <c r="C152" t="s">
        <v>389</v>
      </c>
      <c r="D152" t="s">
        <v>60</v>
      </c>
      <c r="E152" t="b">
        <f>IF(D152=(_xlfn.XLOOKUP(RISE_lawyers!$A152, All!$A$2:$A$158,All!H$2:H$158)), TRUE, FALSE)</f>
        <v>1</v>
      </c>
      <c r="F152" t="s">
        <v>24</v>
      </c>
      <c r="G152" t="b">
        <f>IF(F152=(_xlfn.XLOOKUP(RISE_lawyers!$A152, All!$A$2:$A$158,All!G$2:G$158)), TRUE, FALSE)</f>
        <v>1</v>
      </c>
      <c r="H152" t="s">
        <v>390</v>
      </c>
    </row>
    <row r="153" spans="1:10" ht="15" customHeight="1" x14ac:dyDescent="0.35">
      <c r="A153" t="s">
        <v>391</v>
      </c>
      <c r="B153" t="s">
        <v>366</v>
      </c>
      <c r="C153" t="s">
        <v>392</v>
      </c>
      <c r="D153" t="s">
        <v>23</v>
      </c>
      <c r="E153" t="b">
        <f>IF(D153=(_xlfn.XLOOKUP(RISE_lawyers!$A153, All!$A$2:$A$158,All!H$2:H$158)), TRUE, FALSE)</f>
        <v>1</v>
      </c>
      <c r="F153" t="s">
        <v>39</v>
      </c>
      <c r="G153" t="b">
        <f>IF(F153=(_xlfn.XLOOKUP(RISE_lawyers!$A153, All!$A$2:$A$158,All!G$2:G$158)), TRUE, FALSE)</f>
        <v>1</v>
      </c>
      <c r="H153" t="s">
        <v>185</v>
      </c>
      <c r="J153" t="s">
        <v>1022</v>
      </c>
    </row>
    <row r="154" spans="1:10" ht="15" customHeight="1" x14ac:dyDescent="0.35">
      <c r="A154" t="s">
        <v>393</v>
      </c>
      <c r="B154" t="s">
        <v>366</v>
      </c>
      <c r="C154" t="s">
        <v>394</v>
      </c>
      <c r="D154" t="s">
        <v>516</v>
      </c>
      <c r="E154" t="b">
        <f>IF(D154=(_xlfn.XLOOKUP(RISE_lawyers!$A154, All!$A$2:$A$158,All!H$2:H$158)), TRUE, FALSE)</f>
        <v>1</v>
      </c>
      <c r="F154" t="s">
        <v>24</v>
      </c>
      <c r="G154" t="b">
        <f>IF(F154=(_xlfn.XLOOKUP(RISE_lawyers!$A154, All!$A$2:$A$158,All!G$2:G$158)), TRUE, FALSE)</f>
        <v>1</v>
      </c>
      <c r="H154" t="s">
        <v>228</v>
      </c>
      <c r="J154" t="s">
        <v>993</v>
      </c>
    </row>
    <row r="155" spans="1:10" ht="15" customHeight="1" x14ac:dyDescent="0.35">
      <c r="A155" t="s">
        <v>395</v>
      </c>
      <c r="B155" t="s">
        <v>366</v>
      </c>
      <c r="C155" t="s">
        <v>396</v>
      </c>
      <c r="D155" t="s">
        <v>23</v>
      </c>
      <c r="E155" t="b">
        <f>IF(D155=(_xlfn.XLOOKUP(RISE_lawyers!$A155, All!$A$2:$A$158,All!H$2:H$158)), TRUE, FALSE)</f>
        <v>1</v>
      </c>
      <c r="F155" t="s">
        <v>39</v>
      </c>
      <c r="G155" t="b">
        <f>IF(F155=(_xlfn.XLOOKUP(RISE_lawyers!$A155, All!$A$2:$A$158,All!G$2:G$158)), TRUE, FALSE)</f>
        <v>1</v>
      </c>
      <c r="H155" t="s">
        <v>397</v>
      </c>
      <c r="J155" t="s">
        <v>1018</v>
      </c>
    </row>
    <row r="156" spans="1:10" ht="15" customHeight="1" x14ac:dyDescent="0.35">
      <c r="A156" t="s">
        <v>398</v>
      </c>
      <c r="B156" t="s">
        <v>366</v>
      </c>
      <c r="C156" t="s">
        <v>399</v>
      </c>
      <c r="D156" t="s">
        <v>400</v>
      </c>
      <c r="E156" t="b">
        <f>IF(D156=(_xlfn.XLOOKUP(RISE_lawyers!$A156, All!$A$2:$A$158,All!H$2:H$158)), TRUE, FALSE)</f>
        <v>1</v>
      </c>
      <c r="F156" t="s">
        <v>24</v>
      </c>
      <c r="G156" t="b">
        <f>IF(F156=(_xlfn.XLOOKUP(RISE_lawyers!$A156, All!$A$2:$A$158,All!G$2:G$158)), TRUE, FALSE)</f>
        <v>1</v>
      </c>
      <c r="H156" t="s">
        <v>275</v>
      </c>
    </row>
    <row r="157" spans="1:10" ht="15" customHeight="1" x14ac:dyDescent="0.35">
      <c r="A157" t="s">
        <v>401</v>
      </c>
      <c r="B157" t="s">
        <v>402</v>
      </c>
      <c r="C157" t="s">
        <v>403</v>
      </c>
      <c r="D157" t="s">
        <v>404</v>
      </c>
      <c r="E157" t="b">
        <f>IF(D157=(_xlfn.XLOOKUP(RISE_lawyers!$A157, 'Private Capital'!$A$2:$A$51,'Private Capital'!G$2:G$51)), TRUE, FALSE)</f>
        <v>1</v>
      </c>
      <c r="F157" t="s">
        <v>39</v>
      </c>
      <c r="G157" t="b">
        <f>IF(F157=(_xlfn.XLOOKUP(RISE_lawyers!$A157, 'Private Capital'!$A$2:$A$51,'Private Capital'!F$2:F$51)), TRUE, FALSE)</f>
        <v>1</v>
      </c>
      <c r="H157" t="s">
        <v>397</v>
      </c>
      <c r="I157" s="1" t="s">
        <v>405</v>
      </c>
    </row>
    <row r="158" spans="1:10" ht="15" customHeight="1" x14ac:dyDescent="0.35">
      <c r="A158" t="s">
        <v>406</v>
      </c>
      <c r="B158" t="s">
        <v>402</v>
      </c>
      <c r="C158" t="s">
        <v>407</v>
      </c>
      <c r="D158" t="s">
        <v>23</v>
      </c>
      <c r="E158" t="b">
        <f>IF(D158=(_xlfn.XLOOKUP(RISE_lawyers!$A158, 'Private Capital'!$A$2:$A$51,'Private Capital'!G$2:G$51)), TRUE, FALSE)</f>
        <v>1</v>
      </c>
      <c r="F158" t="s">
        <v>39</v>
      </c>
      <c r="G158" t="b">
        <f>IF(F158=(_xlfn.XLOOKUP(RISE_lawyers!$A158, 'Private Capital'!$A$2:$A$51,'Private Capital'!F$2:F$51)), TRUE, FALSE)</f>
        <v>1</v>
      </c>
      <c r="H158" t="s">
        <v>33</v>
      </c>
      <c r="I158" s="1" t="s">
        <v>408</v>
      </c>
    </row>
    <row r="159" spans="1:10" ht="15" customHeight="1" x14ac:dyDescent="0.35">
      <c r="A159" t="s">
        <v>409</v>
      </c>
      <c r="B159" t="s">
        <v>402</v>
      </c>
      <c r="C159" t="s">
        <v>410</v>
      </c>
      <c r="D159" t="s">
        <v>23</v>
      </c>
      <c r="E159" t="b">
        <f>IF(D159=(_xlfn.XLOOKUP(RISE_lawyers!$A159, 'Private Capital'!$A$2:$A$51,'Private Capital'!G$2:G$51)), TRUE, FALSE)</f>
        <v>1</v>
      </c>
      <c r="F159" t="s">
        <v>108</v>
      </c>
      <c r="G159" t="b">
        <f>IF(F159=(_xlfn.XLOOKUP(RISE_lawyers!$A159, 'Private Capital'!$A$2:$A$51,'Private Capital'!F$2:F$51)), TRUE, FALSE)</f>
        <v>1</v>
      </c>
      <c r="H159" t="s">
        <v>33</v>
      </c>
      <c r="I159" s="1" t="s">
        <v>411</v>
      </c>
    </row>
    <row r="160" spans="1:10" ht="15" customHeight="1" x14ac:dyDescent="0.35">
      <c r="A160" t="s">
        <v>412</v>
      </c>
      <c r="B160" t="s">
        <v>402</v>
      </c>
      <c r="C160" t="s">
        <v>413</v>
      </c>
      <c r="D160" t="s">
        <v>60</v>
      </c>
      <c r="E160" t="b">
        <f>IF(D160=(_xlfn.XLOOKUP(RISE_lawyers!$A160, 'Private Capital'!$A$2:$A$51,'Private Capital'!G$2:G$51)), TRUE, FALSE)</f>
        <v>1</v>
      </c>
      <c r="F160" t="s">
        <v>24</v>
      </c>
      <c r="G160" t="b">
        <f>IF(F160=(_xlfn.XLOOKUP(RISE_lawyers!$A160, 'Private Capital'!$A$2:$A$51,'Private Capital'!F$2:F$51)), TRUE, FALSE)</f>
        <v>1</v>
      </c>
      <c r="H160" t="s">
        <v>73</v>
      </c>
      <c r="I160" s="1" t="s">
        <v>414</v>
      </c>
    </row>
    <row r="161" spans="1:9" ht="15" customHeight="1" x14ac:dyDescent="0.35">
      <c r="A161" t="s">
        <v>415</v>
      </c>
      <c r="B161" t="s">
        <v>402</v>
      </c>
      <c r="C161" t="s">
        <v>416</v>
      </c>
      <c r="D161" t="s">
        <v>60</v>
      </c>
      <c r="E161" t="b">
        <f>IF(D161=(_xlfn.XLOOKUP(RISE_lawyers!$A161, 'Private Capital'!$A$2:$A$51,'Private Capital'!G$2:G$51)), TRUE, FALSE)</f>
        <v>1</v>
      </c>
      <c r="F161" t="s">
        <v>39</v>
      </c>
      <c r="G161" t="b">
        <f>IF(F161=(_xlfn.XLOOKUP(RISE_lawyers!$A161, 'Private Capital'!$A$2:$A$51,'Private Capital'!F$2:F$51)), TRUE, FALSE)</f>
        <v>1</v>
      </c>
      <c r="H161" t="s">
        <v>73</v>
      </c>
      <c r="I161" s="1" t="s">
        <v>417</v>
      </c>
    </row>
    <row r="162" spans="1:9" ht="15" customHeight="1" x14ac:dyDescent="0.35">
      <c r="A162" t="s">
        <v>418</v>
      </c>
      <c r="B162" t="s">
        <v>402</v>
      </c>
      <c r="C162" t="s">
        <v>419</v>
      </c>
      <c r="D162" t="s">
        <v>23</v>
      </c>
      <c r="E162" t="b">
        <f>IF(D162=(_xlfn.XLOOKUP(RISE_lawyers!$A162, 'Private Capital'!$A$2:$A$51,'Private Capital'!G$2:G$51)), TRUE, FALSE)</f>
        <v>1</v>
      </c>
      <c r="F162" t="s">
        <v>24</v>
      </c>
      <c r="G162" t="b">
        <f>IF(F162=(_xlfn.XLOOKUP(RISE_lawyers!$A162, 'Private Capital'!$A$2:$A$51,'Private Capital'!F$2:F$51)), TRUE, FALSE)</f>
        <v>1</v>
      </c>
      <c r="H162" t="s">
        <v>25</v>
      </c>
      <c r="I162" s="1" t="s">
        <v>420</v>
      </c>
    </row>
    <row r="163" spans="1:9" ht="15" customHeight="1" x14ac:dyDescent="0.35">
      <c r="A163" t="s">
        <v>421</v>
      </c>
      <c r="B163" t="s">
        <v>402</v>
      </c>
      <c r="C163" t="s">
        <v>422</v>
      </c>
      <c r="D163" t="s">
        <v>60</v>
      </c>
      <c r="E163" t="b">
        <f>IF(D163=(_xlfn.XLOOKUP(RISE_lawyers!$A163, 'Private Capital'!$A$2:$A$51,'Private Capital'!G$2:G$51)), TRUE, FALSE)</f>
        <v>1</v>
      </c>
      <c r="F163" t="s">
        <v>39</v>
      </c>
      <c r="G163" t="b">
        <f>IF(F163=(_xlfn.XLOOKUP(RISE_lawyers!$A163, 'Private Capital'!$A$2:$A$51,'Private Capital'!F$2:F$51)), TRUE, FALSE)</f>
        <v>1</v>
      </c>
      <c r="H163" t="s">
        <v>73</v>
      </c>
      <c r="I163" s="1" t="s">
        <v>423</v>
      </c>
    </row>
    <row r="164" spans="1:9" ht="15" customHeight="1" x14ac:dyDescent="0.35">
      <c r="A164" t="s">
        <v>424</v>
      </c>
      <c r="B164" t="s">
        <v>402</v>
      </c>
      <c r="C164" t="s">
        <v>425</v>
      </c>
      <c r="D164" t="s">
        <v>23</v>
      </c>
      <c r="E164" t="b">
        <f>IF(D164=(_xlfn.XLOOKUP(RISE_lawyers!$A164, 'Private Capital'!$A$2:$A$51,'Private Capital'!G$2:G$51)), TRUE, FALSE)</f>
        <v>1</v>
      </c>
      <c r="F164" t="s">
        <v>39</v>
      </c>
      <c r="G164" t="b">
        <f>IF(F164=(_xlfn.XLOOKUP(RISE_lawyers!$A164, 'Private Capital'!$A$2:$A$51,'Private Capital'!F$2:F$51)), TRUE, FALSE)</f>
        <v>1</v>
      </c>
      <c r="H164" t="s">
        <v>25</v>
      </c>
      <c r="I164" s="1" t="s">
        <v>426</v>
      </c>
    </row>
    <row r="165" spans="1:9" ht="15" customHeight="1" x14ac:dyDescent="0.35">
      <c r="A165" t="s">
        <v>427</v>
      </c>
      <c r="B165" t="s">
        <v>402</v>
      </c>
      <c r="C165" t="s">
        <v>428</v>
      </c>
      <c r="D165" t="s">
        <v>23</v>
      </c>
      <c r="E165" t="b">
        <f>IF(D165=(_xlfn.XLOOKUP(RISE_lawyers!$A165, 'Private Capital'!$A$2:$A$51,'Private Capital'!G$2:G$51)), TRUE, FALSE)</f>
        <v>1</v>
      </c>
      <c r="F165" t="s">
        <v>39</v>
      </c>
      <c r="G165" t="b">
        <f>IF(F165=(_xlfn.XLOOKUP(RISE_lawyers!$A165, 'Private Capital'!$A$2:$A$51,'Private Capital'!F$2:F$51)), TRUE, FALSE)</f>
        <v>1</v>
      </c>
      <c r="H165" t="s">
        <v>25</v>
      </c>
      <c r="I165" s="1" t="s">
        <v>429</v>
      </c>
    </row>
    <row r="166" spans="1:9" ht="15" customHeight="1" x14ac:dyDescent="0.35">
      <c r="A166" t="s">
        <v>430</v>
      </c>
      <c r="B166" t="s">
        <v>402</v>
      </c>
      <c r="C166" t="s">
        <v>431</v>
      </c>
      <c r="D166" t="s">
        <v>23</v>
      </c>
      <c r="E166" t="b">
        <f>IF(D166=(_xlfn.XLOOKUP(RISE_lawyers!$A166, 'Private Capital'!$A$2:$A$51,'Private Capital'!G$2:G$51)), TRUE, FALSE)</f>
        <v>1</v>
      </c>
      <c r="F166" t="s">
        <v>39</v>
      </c>
      <c r="G166" t="b">
        <f>IF(F166=(_xlfn.XLOOKUP(RISE_lawyers!$A166, 'Private Capital'!$A$2:$A$51,'Private Capital'!F$2:F$51)), TRUE, FALSE)</f>
        <v>1</v>
      </c>
      <c r="H166" t="s">
        <v>33</v>
      </c>
      <c r="I166" s="1" t="s">
        <v>432</v>
      </c>
    </row>
    <row r="167" spans="1:9" ht="15" customHeight="1" x14ac:dyDescent="0.35">
      <c r="A167" t="s">
        <v>433</v>
      </c>
      <c r="B167" t="s">
        <v>402</v>
      </c>
      <c r="C167" t="s">
        <v>434</v>
      </c>
      <c r="D167" t="s">
        <v>107</v>
      </c>
      <c r="E167" t="b">
        <f>IF(D167=(_xlfn.XLOOKUP(RISE_lawyers!$A167, 'Private Capital'!$A$2:$A$51,'Private Capital'!G$2:G$51)), TRUE, FALSE)</f>
        <v>1</v>
      </c>
      <c r="F167" t="s">
        <v>24</v>
      </c>
      <c r="G167" t="b">
        <f>IF(F167=(_xlfn.XLOOKUP(RISE_lawyers!$A167, 'Private Capital'!$A$2:$A$51,'Private Capital'!F$2:F$51)), TRUE, FALSE)</f>
        <v>1</v>
      </c>
      <c r="H167" t="s">
        <v>119</v>
      </c>
      <c r="I167" s="1" t="s">
        <v>435</v>
      </c>
    </row>
    <row r="168" spans="1:9" ht="15" customHeight="1" x14ac:dyDescent="0.35">
      <c r="A168" t="s">
        <v>436</v>
      </c>
      <c r="B168" t="s">
        <v>402</v>
      </c>
      <c r="C168" t="s">
        <v>437</v>
      </c>
      <c r="D168" t="s">
        <v>23</v>
      </c>
      <c r="E168" t="b">
        <f>IF(D168=(_xlfn.XLOOKUP(RISE_lawyers!$A168, 'Private Capital'!$A$2:$A$51,'Private Capital'!G$2:G$51)), TRUE, FALSE)</f>
        <v>1</v>
      </c>
      <c r="F168" t="s">
        <v>39</v>
      </c>
      <c r="G168" t="b">
        <f>IF(F168=(_xlfn.XLOOKUP(RISE_lawyers!$A168, 'Private Capital'!$A$2:$A$51,'Private Capital'!F$2:F$51)), TRUE, FALSE)</f>
        <v>1</v>
      </c>
      <c r="H168" t="s">
        <v>438</v>
      </c>
      <c r="I168" s="1" t="s">
        <v>439</v>
      </c>
    </row>
    <row r="169" spans="1:9" ht="15" customHeight="1" x14ac:dyDescent="0.35">
      <c r="A169" t="s">
        <v>440</v>
      </c>
      <c r="B169" t="s">
        <v>402</v>
      </c>
      <c r="C169" t="s">
        <v>441</v>
      </c>
      <c r="D169" t="s">
        <v>23</v>
      </c>
      <c r="E169" t="b">
        <f>IF(D169=(_xlfn.XLOOKUP(RISE_lawyers!$A169, 'Private Capital'!$A$2:$A$51,'Private Capital'!G$2:G$51)), TRUE, FALSE)</f>
        <v>1</v>
      </c>
      <c r="F169" t="s">
        <v>39</v>
      </c>
      <c r="G169" t="b">
        <f>IF(F169=(_xlfn.XLOOKUP(RISE_lawyers!$A169, 'Private Capital'!$A$2:$A$51,'Private Capital'!F$2:F$51)), TRUE, FALSE)</f>
        <v>1</v>
      </c>
      <c r="H169" t="s">
        <v>25</v>
      </c>
      <c r="I169" s="1" t="s">
        <v>442</v>
      </c>
    </row>
    <row r="170" spans="1:9" ht="15" customHeight="1" x14ac:dyDescent="0.35">
      <c r="A170" t="s">
        <v>443</v>
      </c>
      <c r="B170" t="s">
        <v>402</v>
      </c>
      <c r="C170" t="s">
        <v>444</v>
      </c>
      <c r="D170" t="s">
        <v>23</v>
      </c>
      <c r="E170" t="b">
        <f>IF(D170=(_xlfn.XLOOKUP(RISE_lawyers!$A170, 'Private Capital'!$A$2:$A$51,'Private Capital'!G$2:G$51)), TRUE, FALSE)</f>
        <v>1</v>
      </c>
      <c r="F170" t="s">
        <v>39</v>
      </c>
      <c r="G170" t="b">
        <f>IF(F170=(_xlfn.XLOOKUP(RISE_lawyers!$A170, 'Private Capital'!$A$2:$A$51,'Private Capital'!F$2:F$51)), TRUE, FALSE)</f>
        <v>1</v>
      </c>
      <c r="H170" t="s">
        <v>33</v>
      </c>
      <c r="I170" s="1" t="s">
        <v>445</v>
      </c>
    </row>
    <row r="171" spans="1:9" ht="15" customHeight="1" x14ac:dyDescent="0.35">
      <c r="A171" t="s">
        <v>446</v>
      </c>
      <c r="B171" t="s">
        <v>402</v>
      </c>
      <c r="C171" t="s">
        <v>447</v>
      </c>
      <c r="D171" t="s">
        <v>23</v>
      </c>
      <c r="E171" t="b">
        <f>IF(D171=(_xlfn.XLOOKUP(RISE_lawyers!$A171, 'Private Capital'!$A$2:$A$51,'Private Capital'!G$2:G$51)), TRUE, FALSE)</f>
        <v>1</v>
      </c>
      <c r="F171" t="s">
        <v>39</v>
      </c>
      <c r="G171" t="b">
        <f>IF(F171=(_xlfn.XLOOKUP(RISE_lawyers!$A171, 'Private Capital'!$A$2:$A$51,'Private Capital'!F$2:F$51)), TRUE, FALSE)</f>
        <v>1</v>
      </c>
      <c r="H171" t="s">
        <v>48</v>
      </c>
      <c r="I171" s="1" t="s">
        <v>448</v>
      </c>
    </row>
    <row r="172" spans="1:9" ht="15" customHeight="1" x14ac:dyDescent="0.35">
      <c r="A172" t="s">
        <v>449</v>
      </c>
      <c r="B172" t="s">
        <v>402</v>
      </c>
      <c r="C172" t="s">
        <v>450</v>
      </c>
      <c r="D172" t="s">
        <v>23</v>
      </c>
      <c r="E172" t="b">
        <f>IF(D172=(_xlfn.XLOOKUP(RISE_lawyers!$A172, 'Private Capital'!$A$2:$A$51,'Private Capital'!G$2:G$51)), TRUE, FALSE)</f>
        <v>1</v>
      </c>
      <c r="F172" t="s">
        <v>39</v>
      </c>
      <c r="G172" t="b">
        <f>IF(F172=(_xlfn.XLOOKUP(RISE_lawyers!$A172, 'Private Capital'!$A$2:$A$51,'Private Capital'!F$2:F$51)), TRUE, FALSE)</f>
        <v>1</v>
      </c>
      <c r="H172" t="s">
        <v>438</v>
      </c>
      <c r="I172" s="1" t="s">
        <v>451</v>
      </c>
    </row>
    <row r="173" spans="1:9" ht="15" customHeight="1" x14ac:dyDescent="0.35">
      <c r="A173" t="s">
        <v>452</v>
      </c>
      <c r="B173" t="s">
        <v>402</v>
      </c>
      <c r="C173" t="s">
        <v>453</v>
      </c>
      <c r="D173" t="s">
        <v>23</v>
      </c>
      <c r="E173" t="b">
        <f>IF(D173=(_xlfn.XLOOKUP(RISE_lawyers!$A173, 'Private Capital'!$A$2:$A$51,'Private Capital'!G$2:G$51)), TRUE, FALSE)</f>
        <v>1</v>
      </c>
      <c r="F173" t="s">
        <v>39</v>
      </c>
      <c r="G173" t="b">
        <f>IF(F173=(_xlfn.XLOOKUP(RISE_lawyers!$A173, 'Private Capital'!$A$2:$A$51,'Private Capital'!F$2:F$51)), TRUE, FALSE)</f>
        <v>1</v>
      </c>
      <c r="H173" t="s">
        <v>33</v>
      </c>
      <c r="I173" s="1" t="s">
        <v>454</v>
      </c>
    </row>
    <row r="174" spans="1:9" ht="15" customHeight="1" x14ac:dyDescent="0.35">
      <c r="A174" t="s">
        <v>455</v>
      </c>
      <c r="B174" t="s">
        <v>402</v>
      </c>
      <c r="C174" t="s">
        <v>456</v>
      </c>
      <c r="D174" t="s">
        <v>23</v>
      </c>
      <c r="E174" t="b">
        <f>IF(D174=(_xlfn.XLOOKUP(RISE_lawyers!$A174, 'Private Capital'!$A$2:$A$51,'Private Capital'!G$2:G$51)), TRUE, FALSE)</f>
        <v>1</v>
      </c>
      <c r="F174" t="s">
        <v>39</v>
      </c>
      <c r="G174" t="b">
        <f>IF(F174=(_xlfn.XLOOKUP(RISE_lawyers!$A174, 'Private Capital'!$A$2:$A$51,'Private Capital'!F$2:F$51)), TRUE, FALSE)</f>
        <v>1</v>
      </c>
      <c r="H174" t="s">
        <v>25</v>
      </c>
      <c r="I174" s="1" t="s">
        <v>457</v>
      </c>
    </row>
    <row r="175" spans="1:9" ht="15" customHeight="1" x14ac:dyDescent="0.35">
      <c r="A175" t="s">
        <v>458</v>
      </c>
      <c r="B175" t="s">
        <v>402</v>
      </c>
      <c r="C175" t="s">
        <v>459</v>
      </c>
      <c r="D175" t="s">
        <v>23</v>
      </c>
      <c r="E175" t="b">
        <f>IF(D175=(_xlfn.XLOOKUP(RISE_lawyers!$A175, 'Private Capital'!$A$2:$A$51,'Private Capital'!G$2:G$51)), TRUE, FALSE)</f>
        <v>1</v>
      </c>
      <c r="F175" t="s">
        <v>108</v>
      </c>
      <c r="G175" t="b">
        <f>IF(F175=(_xlfn.XLOOKUP(RISE_lawyers!$A175, 'Private Capital'!$A$2:$A$51,'Private Capital'!F$2:F$51)), TRUE, FALSE)</f>
        <v>1</v>
      </c>
      <c r="H175" t="s">
        <v>438</v>
      </c>
      <c r="I175" s="1" t="s">
        <v>460</v>
      </c>
    </row>
    <row r="176" spans="1:9" ht="15" customHeight="1" x14ac:dyDescent="0.35">
      <c r="A176" t="s">
        <v>461</v>
      </c>
      <c r="B176" t="s">
        <v>402</v>
      </c>
      <c r="C176" t="s">
        <v>462</v>
      </c>
      <c r="D176" t="s">
        <v>23</v>
      </c>
      <c r="E176" t="b">
        <f>IF(D176=(_xlfn.XLOOKUP(RISE_lawyers!$A176, 'Private Capital'!$A$2:$A$51,'Private Capital'!G$2:G$51)), TRUE, FALSE)</f>
        <v>1</v>
      </c>
      <c r="F176" t="s">
        <v>39</v>
      </c>
      <c r="G176" t="b">
        <f>IF(F176=(_xlfn.XLOOKUP(RISE_lawyers!$A176, 'Private Capital'!$A$2:$A$51,'Private Capital'!F$2:F$51)), TRUE, FALSE)</f>
        <v>1</v>
      </c>
      <c r="H176" t="s">
        <v>463</v>
      </c>
      <c r="I176" s="1" t="s">
        <v>464</v>
      </c>
    </row>
    <row r="177" spans="1:9" ht="15" customHeight="1" x14ac:dyDescent="0.35">
      <c r="A177" t="s">
        <v>465</v>
      </c>
      <c r="B177" t="s">
        <v>402</v>
      </c>
      <c r="C177" t="s">
        <v>466</v>
      </c>
      <c r="D177" t="s">
        <v>60</v>
      </c>
      <c r="E177" t="b">
        <f>IF(D177=(_xlfn.XLOOKUP(RISE_lawyers!$A177, 'Private Capital'!$A$2:$A$51,'Private Capital'!G$2:G$51)), TRUE, FALSE)</f>
        <v>1</v>
      </c>
      <c r="F177" t="s">
        <v>39</v>
      </c>
      <c r="G177" t="b">
        <f>IF(F177=(_xlfn.XLOOKUP(RISE_lawyers!$A177, 'Private Capital'!$A$2:$A$51,'Private Capital'!F$2:F$51)), TRUE, FALSE)</f>
        <v>1</v>
      </c>
      <c r="H177" t="s">
        <v>73</v>
      </c>
      <c r="I177" s="1" t="s">
        <v>467</v>
      </c>
    </row>
    <row r="178" spans="1:9" ht="15" customHeight="1" x14ac:dyDescent="0.35">
      <c r="A178" t="s">
        <v>468</v>
      </c>
      <c r="B178" t="s">
        <v>402</v>
      </c>
      <c r="C178" t="s">
        <v>469</v>
      </c>
      <c r="D178" t="s">
        <v>60</v>
      </c>
      <c r="E178" t="b">
        <f>IF(D178=(_xlfn.XLOOKUP(RISE_lawyers!$A178, 'Private Capital'!$A$2:$A$51,'Private Capital'!G$2:G$51)), TRUE, FALSE)</f>
        <v>1</v>
      </c>
      <c r="F178" t="s">
        <v>57</v>
      </c>
      <c r="G178" t="b">
        <f>IF(F178=(_xlfn.XLOOKUP(RISE_lawyers!$A178, 'Private Capital'!$A$2:$A$51,'Private Capital'!F$2:F$51)), TRUE, FALSE)</f>
        <v>1</v>
      </c>
      <c r="H178" t="s">
        <v>73</v>
      </c>
      <c r="I178" s="1" t="s">
        <v>470</v>
      </c>
    </row>
    <row r="179" spans="1:9" ht="15" customHeight="1" x14ac:dyDescent="0.35">
      <c r="A179" t="s">
        <v>471</v>
      </c>
      <c r="B179" t="s">
        <v>402</v>
      </c>
      <c r="C179" t="s">
        <v>472</v>
      </c>
      <c r="D179" t="s">
        <v>23</v>
      </c>
      <c r="E179" t="b">
        <f>IF(D179=(_xlfn.XLOOKUP(RISE_lawyers!$A179, 'Private Capital'!$A$2:$A$51,'Private Capital'!G$2:G$51)), TRUE, FALSE)</f>
        <v>1</v>
      </c>
      <c r="F179" t="s">
        <v>24</v>
      </c>
      <c r="G179" t="b">
        <f>IF(F179=(_xlfn.XLOOKUP(RISE_lawyers!$A179, 'Private Capital'!$A$2:$A$51,'Private Capital'!F$2:F$51)), TRUE, FALSE)</f>
        <v>1</v>
      </c>
      <c r="H179" t="s">
        <v>25</v>
      </c>
      <c r="I179" s="1" t="s">
        <v>473</v>
      </c>
    </row>
    <row r="180" spans="1:9" ht="15" customHeight="1" x14ac:dyDescent="0.35">
      <c r="A180" t="s">
        <v>474</v>
      </c>
      <c r="B180" t="s">
        <v>402</v>
      </c>
      <c r="C180" t="s">
        <v>475</v>
      </c>
      <c r="D180" t="s">
        <v>23</v>
      </c>
      <c r="E180" t="b">
        <f>IF(D180=(_xlfn.XLOOKUP(RISE_lawyers!$A180, 'Private Capital'!$A$2:$A$51,'Private Capital'!G$2:G$51)), TRUE, FALSE)</f>
        <v>1</v>
      </c>
      <c r="F180" t="s">
        <v>24</v>
      </c>
      <c r="G180" t="b">
        <f>IF(F180=(_xlfn.XLOOKUP(RISE_lawyers!$A180, 'Private Capital'!$A$2:$A$51,'Private Capital'!F$2:F$51)), TRUE, FALSE)</f>
        <v>1</v>
      </c>
      <c r="H180" t="s">
        <v>25</v>
      </c>
      <c r="I180" s="1" t="s">
        <v>476</v>
      </c>
    </row>
    <row r="181" spans="1:9" ht="15" customHeight="1" x14ac:dyDescent="0.35">
      <c r="A181" t="s">
        <v>477</v>
      </c>
      <c r="B181" t="s">
        <v>402</v>
      </c>
      <c r="C181" t="s">
        <v>478</v>
      </c>
      <c r="D181" t="s">
        <v>23</v>
      </c>
      <c r="E181" t="b">
        <f>IF(D181=(_xlfn.XLOOKUP(RISE_lawyers!$A181, 'Private Capital'!$A$2:$A$51,'Private Capital'!G$2:G$51)), TRUE, FALSE)</f>
        <v>1</v>
      </c>
      <c r="F181" t="s">
        <v>39</v>
      </c>
      <c r="G181" t="b">
        <f>IF(F181=(_xlfn.XLOOKUP(RISE_lawyers!$A181, 'Private Capital'!$A$2:$A$51,'Private Capital'!F$2:F$51)), TRUE, FALSE)</f>
        <v>1</v>
      </c>
      <c r="H181" t="s">
        <v>33</v>
      </c>
      <c r="I181" s="1" t="s">
        <v>479</v>
      </c>
    </row>
    <row r="182" spans="1:9" ht="15" customHeight="1" x14ac:dyDescent="0.35">
      <c r="A182" t="s">
        <v>480</v>
      </c>
      <c r="B182" t="s">
        <v>402</v>
      </c>
      <c r="C182" t="s">
        <v>481</v>
      </c>
      <c r="D182" t="s">
        <v>482</v>
      </c>
      <c r="E182" t="b">
        <f>IF(D182=(_xlfn.XLOOKUP(RISE_lawyers!$A182, 'Private Capital'!$A$2:$A$51,'Private Capital'!G$2:G$51)), TRUE, FALSE)</f>
        <v>1</v>
      </c>
      <c r="F182" t="s">
        <v>39</v>
      </c>
      <c r="G182" t="b">
        <f>IF(F182=(_xlfn.XLOOKUP(RISE_lawyers!$A182, 'Private Capital'!$A$2:$A$51,'Private Capital'!F$2:F$51)), TRUE, FALSE)</f>
        <v>1</v>
      </c>
      <c r="H182" t="s">
        <v>483</v>
      </c>
      <c r="I182" s="1" t="s">
        <v>484</v>
      </c>
    </row>
    <row r="183" spans="1:9" ht="15" customHeight="1" x14ac:dyDescent="0.35">
      <c r="A183" t="s">
        <v>485</v>
      </c>
      <c r="B183" t="s">
        <v>402</v>
      </c>
      <c r="C183" t="s">
        <v>486</v>
      </c>
      <c r="D183" t="s">
        <v>60</v>
      </c>
      <c r="E183" t="b">
        <f>IF(D183=(_xlfn.XLOOKUP(RISE_lawyers!$A183, 'Private Capital'!$A$2:$A$51,'Private Capital'!G$2:G$51)), TRUE, FALSE)</f>
        <v>1</v>
      </c>
      <c r="F183" t="s">
        <v>57</v>
      </c>
      <c r="G183" t="b">
        <f>IF(F183=(_xlfn.XLOOKUP(RISE_lawyers!$A183, 'Private Capital'!$A$2:$A$51,'Private Capital'!F$2:F$51)), TRUE, FALSE)</f>
        <v>1</v>
      </c>
      <c r="H183" t="s">
        <v>48</v>
      </c>
      <c r="I183" s="1" t="s">
        <v>487</v>
      </c>
    </row>
    <row r="184" spans="1:9" ht="15" customHeight="1" x14ac:dyDescent="0.35">
      <c r="A184" t="s">
        <v>488</v>
      </c>
      <c r="B184" t="s">
        <v>402</v>
      </c>
      <c r="C184" t="s">
        <v>489</v>
      </c>
      <c r="D184" t="s">
        <v>23</v>
      </c>
      <c r="E184" t="b">
        <f>IF(D184=(_xlfn.XLOOKUP(RISE_lawyers!$A184, 'Private Capital'!$A$2:$A$51,'Private Capital'!G$2:G$51)), TRUE, FALSE)</f>
        <v>1</v>
      </c>
      <c r="F184" t="s">
        <v>39</v>
      </c>
      <c r="G184" t="b">
        <f>IF(F184=(_xlfn.XLOOKUP(RISE_lawyers!$A184, 'Private Capital'!$A$2:$A$51,'Private Capital'!F$2:F$51)), TRUE, FALSE)</f>
        <v>1</v>
      </c>
      <c r="H184" t="s">
        <v>33</v>
      </c>
      <c r="I184" s="1" t="s">
        <v>490</v>
      </c>
    </row>
    <row r="185" spans="1:9" ht="15" customHeight="1" x14ac:dyDescent="0.35">
      <c r="A185" t="s">
        <v>491</v>
      </c>
      <c r="B185" t="s">
        <v>402</v>
      </c>
      <c r="C185" t="s">
        <v>492</v>
      </c>
      <c r="D185" t="s">
        <v>23</v>
      </c>
      <c r="E185" t="b">
        <f>IF(D185=(_xlfn.XLOOKUP(RISE_lawyers!$A185, 'Private Capital'!$A$2:$A$51,'Private Capital'!G$2:G$51)), TRUE, FALSE)</f>
        <v>1</v>
      </c>
      <c r="F185" t="s">
        <v>39</v>
      </c>
      <c r="G185" t="b">
        <f>IF(F185=(_xlfn.XLOOKUP(RISE_lawyers!$A185, 'Private Capital'!$A$2:$A$51,'Private Capital'!F$2:F$51)), TRUE, FALSE)</f>
        <v>1</v>
      </c>
      <c r="H185" t="s">
        <v>25</v>
      </c>
      <c r="I185" s="1" t="s">
        <v>493</v>
      </c>
    </row>
    <row r="186" spans="1:9" ht="15" customHeight="1" x14ac:dyDescent="0.35">
      <c r="A186" t="s">
        <v>494</v>
      </c>
      <c r="B186" t="s">
        <v>402</v>
      </c>
      <c r="C186" t="s">
        <v>495</v>
      </c>
      <c r="D186" t="s">
        <v>496</v>
      </c>
      <c r="E186" t="b">
        <f>IF(D186=(_xlfn.XLOOKUP(RISE_lawyers!$A186, 'Private Capital'!$A$2:$A$51,'Private Capital'!G$2:G$51)), TRUE, FALSE)</f>
        <v>1</v>
      </c>
      <c r="F186" t="s">
        <v>39</v>
      </c>
      <c r="G186" t="b">
        <f>IF(F186=(_xlfn.XLOOKUP(RISE_lawyers!$A186, 'Private Capital'!$A$2:$A$51,'Private Capital'!F$2:F$51)), TRUE, FALSE)</f>
        <v>1</v>
      </c>
      <c r="H186" t="s">
        <v>438</v>
      </c>
      <c r="I186" s="1" t="s">
        <v>497</v>
      </c>
    </row>
    <row r="187" spans="1:9" ht="15" customHeight="1" x14ac:dyDescent="0.35">
      <c r="A187" t="s">
        <v>498</v>
      </c>
      <c r="B187" t="s">
        <v>402</v>
      </c>
      <c r="C187" t="s">
        <v>499</v>
      </c>
      <c r="D187" t="s">
        <v>60</v>
      </c>
      <c r="E187" t="b">
        <f>IF(D187=(_xlfn.XLOOKUP(RISE_lawyers!$A187, 'Private Capital'!$A$2:$A$51,'Private Capital'!G$2:G$51)), TRUE, FALSE)</f>
        <v>1</v>
      </c>
      <c r="F187" t="s">
        <v>24</v>
      </c>
      <c r="G187" t="b">
        <f>IF(F187=(_xlfn.XLOOKUP(RISE_lawyers!$A187, 'Private Capital'!$A$2:$A$51,'Private Capital'!F$2:F$51)), TRUE, FALSE)</f>
        <v>1</v>
      </c>
      <c r="H187" t="s">
        <v>48</v>
      </c>
      <c r="I187" s="1" t="s">
        <v>500</v>
      </c>
    </row>
    <row r="188" spans="1:9" ht="15" customHeight="1" x14ac:dyDescent="0.35">
      <c r="A188" t="s">
        <v>501</v>
      </c>
      <c r="B188" t="s">
        <v>402</v>
      </c>
      <c r="C188" t="s">
        <v>502</v>
      </c>
      <c r="D188" t="s">
        <v>503</v>
      </c>
      <c r="E188" t="b">
        <f>IF(D188=(_xlfn.XLOOKUP(RISE_lawyers!$A188, 'Private Capital'!$A$2:$A$51,'Private Capital'!G$2:G$51)), TRUE, FALSE)</f>
        <v>1</v>
      </c>
      <c r="F188" t="s">
        <v>57</v>
      </c>
      <c r="G188" t="b">
        <f>IF(F188=(_xlfn.XLOOKUP(RISE_lawyers!$A188, 'Private Capital'!$A$2:$A$51,'Private Capital'!F$2:F$51)), TRUE, FALSE)</f>
        <v>1</v>
      </c>
      <c r="H188" t="s">
        <v>48</v>
      </c>
      <c r="I188" s="1" t="s">
        <v>504</v>
      </c>
    </row>
    <row r="189" spans="1:9" ht="15" customHeight="1" x14ac:dyDescent="0.35">
      <c r="A189" t="s">
        <v>505</v>
      </c>
      <c r="B189" t="s">
        <v>402</v>
      </c>
      <c r="C189" t="s">
        <v>506</v>
      </c>
      <c r="D189" t="s">
        <v>60</v>
      </c>
      <c r="E189" t="b">
        <f>IF(D189=(_xlfn.XLOOKUP(RISE_lawyers!$A189, 'Private Capital'!$A$2:$A$51,'Private Capital'!G$2:G$51)), TRUE, FALSE)</f>
        <v>1</v>
      </c>
      <c r="F189" t="s">
        <v>39</v>
      </c>
      <c r="G189" t="b">
        <f>IF(F189=(_xlfn.XLOOKUP(RISE_lawyers!$A189, 'Private Capital'!$A$2:$A$51,'Private Capital'!F$2:F$51)), TRUE, FALSE)</f>
        <v>1</v>
      </c>
      <c r="H189" t="s">
        <v>73</v>
      </c>
      <c r="I189" s="1" t="s">
        <v>507</v>
      </c>
    </row>
    <row r="190" spans="1:9" ht="15" customHeight="1" x14ac:dyDescent="0.35">
      <c r="A190" t="s">
        <v>508</v>
      </c>
      <c r="B190" t="s">
        <v>402</v>
      </c>
      <c r="C190" t="s">
        <v>509</v>
      </c>
      <c r="D190" t="s">
        <v>23</v>
      </c>
      <c r="E190" t="b">
        <f>IF(D190=(_xlfn.XLOOKUP(RISE_lawyers!$A190, 'Private Capital'!$A$2:$A$51,'Private Capital'!G$2:G$51)), TRUE, FALSE)</f>
        <v>1</v>
      </c>
      <c r="F190" t="s">
        <v>57</v>
      </c>
      <c r="G190" t="b">
        <f>IF(F190=(_xlfn.XLOOKUP(RISE_lawyers!$A190, 'Private Capital'!$A$2:$A$51,'Private Capital'!F$2:F$51)), TRUE, FALSE)</f>
        <v>1</v>
      </c>
      <c r="H190" t="s">
        <v>48</v>
      </c>
      <c r="I190" s="1" t="s">
        <v>510</v>
      </c>
    </row>
    <row r="191" spans="1:9" ht="15" customHeight="1" x14ac:dyDescent="0.35">
      <c r="A191" t="s">
        <v>511</v>
      </c>
      <c r="B191" t="s">
        <v>402</v>
      </c>
      <c r="C191" t="s">
        <v>512</v>
      </c>
      <c r="D191" t="s">
        <v>23</v>
      </c>
      <c r="E191" t="b">
        <f>IF(D191=(_xlfn.XLOOKUP(RISE_lawyers!$A191, 'Private Capital'!$A$2:$A$51,'Private Capital'!G$2:G$51)), TRUE, FALSE)</f>
        <v>1</v>
      </c>
      <c r="F191" t="s">
        <v>39</v>
      </c>
      <c r="G191" t="b">
        <f>IF(F191=(_xlfn.XLOOKUP(RISE_lawyers!$A191, 'Private Capital'!$A$2:$A$51,'Private Capital'!F$2:F$51)), TRUE, FALSE)</f>
        <v>1</v>
      </c>
      <c r="H191" t="s">
        <v>33</v>
      </c>
      <c r="I191" s="1" t="s">
        <v>513</v>
      </c>
    </row>
    <row r="192" spans="1:9" ht="15" customHeight="1" x14ac:dyDescent="0.35">
      <c r="A192" t="s">
        <v>514</v>
      </c>
      <c r="B192" t="s">
        <v>402</v>
      </c>
      <c r="C192" t="s">
        <v>515</v>
      </c>
      <c r="D192" t="s">
        <v>516</v>
      </c>
      <c r="E192" t="b">
        <f>IF(D192=(_xlfn.XLOOKUP(RISE_lawyers!$A192, 'Private Capital'!$A$2:$A$51,'Private Capital'!G$2:G$51)), TRUE, FALSE)</f>
        <v>1</v>
      </c>
      <c r="F192" t="s">
        <v>57</v>
      </c>
      <c r="G192" t="b">
        <f>IF(F192=(_xlfn.XLOOKUP(RISE_lawyers!$A192, 'Private Capital'!$A$2:$A$51,'Private Capital'!F$2:F$51)), TRUE, FALSE)</f>
        <v>1</v>
      </c>
      <c r="H192" t="s">
        <v>517</v>
      </c>
      <c r="I192" s="1" t="s">
        <v>518</v>
      </c>
    </row>
    <row r="193" spans="1:10" ht="15" customHeight="1" x14ac:dyDescent="0.35">
      <c r="A193" t="s">
        <v>519</v>
      </c>
      <c r="B193" t="s">
        <v>402</v>
      </c>
      <c r="C193" t="s">
        <v>520</v>
      </c>
      <c r="D193" t="s">
        <v>23</v>
      </c>
      <c r="E193" t="b">
        <f>IF(D193=(_xlfn.XLOOKUP(RISE_lawyers!$A193, 'Private Capital'!$A$2:$A$51,'Private Capital'!G$2:G$51)), TRUE, FALSE)</f>
        <v>1</v>
      </c>
      <c r="F193" t="s">
        <v>39</v>
      </c>
      <c r="G193" t="b">
        <f>IF(F193=(_xlfn.XLOOKUP(RISE_lawyers!$A193, 'Private Capital'!$A$2:$A$51,'Private Capital'!F$2:F$51)), TRUE, FALSE)</f>
        <v>1</v>
      </c>
      <c r="H193" t="s">
        <v>25</v>
      </c>
      <c r="I193" s="1" t="s">
        <v>521</v>
      </c>
    </row>
    <row r="194" spans="1:10" ht="15" customHeight="1" x14ac:dyDescent="0.35">
      <c r="A194" t="s">
        <v>522</v>
      </c>
      <c r="B194" t="s">
        <v>402</v>
      </c>
      <c r="C194" t="s">
        <v>523</v>
      </c>
      <c r="D194" t="s">
        <v>400</v>
      </c>
      <c r="E194" t="b">
        <f>IF(D194=(_xlfn.XLOOKUP(RISE_lawyers!$A194, 'Private Capital'!$A$2:$A$51,'Private Capital'!G$2:G$51)), TRUE, FALSE)</f>
        <v>1</v>
      </c>
      <c r="F194" t="s">
        <v>39</v>
      </c>
      <c r="G194" t="b">
        <f>IF(F194=(_xlfn.XLOOKUP(RISE_lawyers!$A194, 'Private Capital'!$A$2:$A$51,'Private Capital'!F$2:F$51)), TRUE, FALSE)</f>
        <v>1</v>
      </c>
      <c r="H194" t="s">
        <v>524</v>
      </c>
      <c r="I194" s="1" t="s">
        <v>525</v>
      </c>
      <c r="J194" t="s">
        <v>994</v>
      </c>
    </row>
    <row r="195" spans="1:10" ht="15" customHeight="1" x14ac:dyDescent="0.35">
      <c r="A195" t="s">
        <v>526</v>
      </c>
      <c r="B195" t="s">
        <v>402</v>
      </c>
      <c r="C195" t="s">
        <v>527</v>
      </c>
      <c r="D195" t="s">
        <v>23</v>
      </c>
      <c r="E195" t="b">
        <f>IF(D195=(_xlfn.XLOOKUP(RISE_lawyers!$A195, 'Private Capital'!$A$2:$A$51,'Private Capital'!G$2:G$51)), TRUE, FALSE)</f>
        <v>1</v>
      </c>
      <c r="F195" t="s">
        <v>39</v>
      </c>
      <c r="G195" t="b">
        <f>IF(F195=(_xlfn.XLOOKUP(RISE_lawyers!$A195, 'Private Capital'!$A$2:$A$51,'Private Capital'!F$2:F$51)), TRUE, FALSE)</f>
        <v>1</v>
      </c>
      <c r="H195" t="s">
        <v>25</v>
      </c>
      <c r="I195" s="1" t="s">
        <v>528</v>
      </c>
    </row>
    <row r="196" spans="1:10" ht="15" customHeight="1" x14ac:dyDescent="0.35">
      <c r="A196" t="s">
        <v>529</v>
      </c>
      <c r="B196" t="s">
        <v>402</v>
      </c>
      <c r="C196" t="s">
        <v>530</v>
      </c>
      <c r="D196" t="s">
        <v>23</v>
      </c>
      <c r="E196" t="b">
        <f>IF(D196=(_xlfn.XLOOKUP(RISE_lawyers!$A196, 'Private Capital'!$A$2:$A$51,'Private Capital'!G$2:G$51)), TRUE, FALSE)</f>
        <v>1</v>
      </c>
      <c r="F196" t="s">
        <v>24</v>
      </c>
      <c r="G196" t="b">
        <f>IF(F196=(_xlfn.XLOOKUP(RISE_lawyers!$A196, 'Private Capital'!$A$2:$A$51,'Private Capital'!F$2:F$51)), TRUE, FALSE)</f>
        <v>1</v>
      </c>
      <c r="H196" t="s">
        <v>25</v>
      </c>
      <c r="I196" s="1" t="s">
        <v>531</v>
      </c>
    </row>
    <row r="197" spans="1:10" ht="15" customHeight="1" x14ac:dyDescent="0.35">
      <c r="A197" t="s">
        <v>532</v>
      </c>
      <c r="B197" t="s">
        <v>402</v>
      </c>
      <c r="C197" t="s">
        <v>533</v>
      </c>
      <c r="D197" t="s">
        <v>23</v>
      </c>
      <c r="E197" t="b">
        <f>IF(D197=(_xlfn.XLOOKUP(RISE_lawyers!$A197, 'Private Capital'!$A$2:$A$51,'Private Capital'!G$2:G$51)), TRUE, FALSE)</f>
        <v>1</v>
      </c>
      <c r="F197" t="s">
        <v>39</v>
      </c>
      <c r="G197" t="b">
        <f>IF(F197=(_xlfn.XLOOKUP(RISE_lawyers!$A197, 'Private Capital'!$A$2:$A$51,'Private Capital'!F$2:F$51)), TRUE, FALSE)</f>
        <v>1</v>
      </c>
      <c r="H197" t="s">
        <v>534</v>
      </c>
      <c r="I197" s="1" t="s">
        <v>535</v>
      </c>
    </row>
    <row r="198" spans="1:10" ht="15" customHeight="1" x14ac:dyDescent="0.35">
      <c r="A198" t="s">
        <v>536</v>
      </c>
      <c r="B198" t="s">
        <v>402</v>
      </c>
      <c r="C198" t="s">
        <v>537</v>
      </c>
      <c r="D198" t="s">
        <v>23</v>
      </c>
      <c r="E198" t="b">
        <f>IF(D198=(_xlfn.XLOOKUP(RISE_lawyers!$A198, 'Private Capital'!$A$2:$A$51,'Private Capital'!G$2:G$51)), TRUE, FALSE)</f>
        <v>1</v>
      </c>
      <c r="F198" t="s">
        <v>39</v>
      </c>
      <c r="G198" t="b">
        <f>IF(F198=(_xlfn.XLOOKUP(RISE_lawyers!$A198, 'Private Capital'!$A$2:$A$51,'Private Capital'!F$2:F$51)), TRUE, FALSE)</f>
        <v>1</v>
      </c>
      <c r="H198" t="s">
        <v>119</v>
      </c>
      <c r="I198" s="1" t="s">
        <v>538</v>
      </c>
    </row>
    <row r="199" spans="1:10" ht="15" customHeight="1" x14ac:dyDescent="0.35">
      <c r="A199" t="s">
        <v>539</v>
      </c>
      <c r="B199" t="s">
        <v>402</v>
      </c>
      <c r="C199" t="s">
        <v>540</v>
      </c>
      <c r="D199" t="s">
        <v>60</v>
      </c>
      <c r="E199" t="b">
        <f>IF(D199=(_xlfn.XLOOKUP(RISE_lawyers!$A199, 'Private Capital'!$A$2:$A$51,'Private Capital'!G$2:G$51)), TRUE, FALSE)</f>
        <v>1</v>
      </c>
      <c r="F199" t="s">
        <v>57</v>
      </c>
      <c r="G199" t="b">
        <f>IF(F199=(_xlfn.XLOOKUP(RISE_lawyers!$A199, 'Private Capital'!$A$2:$A$51,'Private Capital'!F$2:F$51)), TRUE, FALSE)</f>
        <v>1</v>
      </c>
      <c r="H199" t="s">
        <v>73</v>
      </c>
      <c r="I199" s="1" t="s">
        <v>541</v>
      </c>
    </row>
    <row r="200" spans="1:10" ht="15" customHeight="1" x14ac:dyDescent="0.35">
      <c r="A200" t="s">
        <v>542</v>
      </c>
      <c r="B200" t="s">
        <v>402</v>
      </c>
      <c r="C200" t="s">
        <v>543</v>
      </c>
      <c r="D200" t="s">
        <v>60</v>
      </c>
      <c r="E200" t="b">
        <f>IF(D200=(_xlfn.XLOOKUP(RISE_lawyers!$A200, 'Private Capital'!$A$2:$A$51,'Private Capital'!G$2:G$51)), TRUE, FALSE)</f>
        <v>1</v>
      </c>
      <c r="F200" t="s">
        <v>39</v>
      </c>
      <c r="G200" t="b">
        <f>IF(F200=(_xlfn.XLOOKUP(RISE_lawyers!$A200, 'Private Capital'!$A$2:$A$51,'Private Capital'!F$2:F$51)), TRUE, FALSE)</f>
        <v>1</v>
      </c>
      <c r="H200" t="s">
        <v>73</v>
      </c>
      <c r="I200" s="1" t="s">
        <v>544</v>
      </c>
    </row>
    <row r="201" spans="1:10" ht="15" customHeight="1" x14ac:dyDescent="0.35">
      <c r="A201" t="s">
        <v>545</v>
      </c>
      <c r="B201" t="s">
        <v>402</v>
      </c>
      <c r="C201" t="s">
        <v>546</v>
      </c>
      <c r="D201" t="s">
        <v>23</v>
      </c>
      <c r="E201" t="b">
        <f>IF(D201=(_xlfn.XLOOKUP(RISE_lawyers!$A201, 'Private Capital'!$A$2:$A$51,'Private Capital'!G$2:G$51)), TRUE, FALSE)</f>
        <v>1</v>
      </c>
      <c r="F201" t="s">
        <v>39</v>
      </c>
      <c r="G201" t="b">
        <f>IF(F201=(_xlfn.XLOOKUP(RISE_lawyers!$A201, 'Private Capital'!$A$2:$A$51,'Private Capital'!F$2:F$51)), TRUE, FALSE)</f>
        <v>1</v>
      </c>
      <c r="H201" t="s">
        <v>534</v>
      </c>
      <c r="I201" s="1" t="s">
        <v>547</v>
      </c>
    </row>
    <row r="202" spans="1:10" ht="15" customHeight="1" x14ac:dyDescent="0.35">
      <c r="A202" t="s">
        <v>548</v>
      </c>
      <c r="B202" t="s">
        <v>402</v>
      </c>
      <c r="C202" t="s">
        <v>549</v>
      </c>
      <c r="D202" t="s">
        <v>23</v>
      </c>
      <c r="E202" t="b">
        <f>IF(D202=(_xlfn.XLOOKUP(RISE_lawyers!$A202, 'Private Capital'!$A$2:$A$51,'Private Capital'!G$2:G$51)), TRUE, FALSE)</f>
        <v>1</v>
      </c>
      <c r="F202" t="s">
        <v>39</v>
      </c>
      <c r="G202" t="b">
        <f>IF(F202=(_xlfn.XLOOKUP(RISE_lawyers!$A202, 'Private Capital'!$A$2:$A$51,'Private Capital'!F$2:F$51)), TRUE, FALSE)</f>
        <v>1</v>
      </c>
      <c r="H202" t="s">
        <v>25</v>
      </c>
      <c r="I202" s="1" t="s">
        <v>550</v>
      </c>
    </row>
    <row r="203" spans="1:10" ht="15" customHeight="1" x14ac:dyDescent="0.35">
      <c r="A203" t="s">
        <v>551</v>
      </c>
      <c r="B203" t="s">
        <v>402</v>
      </c>
      <c r="C203" t="s">
        <v>552</v>
      </c>
      <c r="D203" t="s">
        <v>23</v>
      </c>
      <c r="E203" t="b">
        <f>IF(D203=(_xlfn.XLOOKUP(RISE_lawyers!$A203, 'Private Capital'!$A$2:$A$51,'Private Capital'!G$2:G$51)), TRUE, FALSE)</f>
        <v>1</v>
      </c>
      <c r="F203" t="s">
        <v>57</v>
      </c>
      <c r="G203" t="b">
        <f>IF(F203=(_xlfn.XLOOKUP(RISE_lawyers!$A203, 'Private Capital'!$A$2:$A$51,'Private Capital'!F$2:F$51)), TRUE, FALSE)</f>
        <v>1</v>
      </c>
      <c r="H203" t="s">
        <v>463</v>
      </c>
      <c r="I203" s="1" t="s">
        <v>553</v>
      </c>
    </row>
    <row r="204" spans="1:10" ht="15" customHeight="1" x14ac:dyDescent="0.35">
      <c r="A204" t="s">
        <v>554</v>
      </c>
      <c r="B204" t="s">
        <v>402</v>
      </c>
      <c r="C204" t="s">
        <v>555</v>
      </c>
      <c r="D204" t="s">
        <v>23</v>
      </c>
      <c r="E204" t="b">
        <f>IF(D204=(_xlfn.XLOOKUP(RISE_lawyers!$A204, 'Private Capital'!$A$2:$A$51,'Private Capital'!G$2:G$51)), TRUE, FALSE)</f>
        <v>1</v>
      </c>
      <c r="F204" t="s">
        <v>108</v>
      </c>
      <c r="G204" t="b">
        <f>IF(F204=(_xlfn.XLOOKUP(RISE_lawyers!$A204, 'Private Capital'!$A$2:$A$51,'Private Capital'!F$2:F$51)), TRUE, FALSE)</f>
        <v>1</v>
      </c>
      <c r="H204" t="s">
        <v>33</v>
      </c>
      <c r="I204" s="1" t="s">
        <v>556</v>
      </c>
    </row>
  </sheetData>
  <phoneticPr fontId="18" type="noConversion"/>
  <conditionalFormatting sqref="J194 J13:J22 J24 J26:J30 J32:J37">
    <cfRule type="cellIs" dxfId="14" priority="21" operator="equal">
      <formula>TRUE</formula>
    </cfRule>
    <cfRule type="cellIs" dxfId="13" priority="22" operator="equal">
      <formula>FALSE</formula>
    </cfRule>
  </conditionalFormatting>
  <conditionalFormatting sqref="E2:E156">
    <cfRule type="cellIs" dxfId="12" priority="9" operator="equal">
      <formula>TRUE</formula>
    </cfRule>
    <cfRule type="cellIs" dxfId="11" priority="10" operator="equal">
      <formula>FALSE</formula>
    </cfRule>
  </conditionalFormatting>
  <conditionalFormatting sqref="E157:E204">
    <cfRule type="cellIs" dxfId="10" priority="7" operator="equal">
      <formula>TRUE</formula>
    </cfRule>
    <cfRule type="cellIs" dxfId="9" priority="8" operator="equal">
      <formula>FALSE</formula>
    </cfRule>
  </conditionalFormatting>
  <conditionalFormatting sqref="G2:G156">
    <cfRule type="cellIs" dxfId="8" priority="3" operator="equal">
      <formula>TRUE</formula>
    </cfRule>
    <cfRule type="cellIs" dxfId="7" priority="4" operator="equal">
      <formula>FALSE</formula>
    </cfRule>
  </conditionalFormatting>
  <conditionalFormatting sqref="G157:G204">
    <cfRule type="cellIs" dxfId="6" priority="1" operator="equal">
      <formula>TRUE</formula>
    </cfRule>
    <cfRule type="cellIs" dxfId="5" priority="2" operator="equal">
      <formula>FALSE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FDDA6-7C2B-4D3C-A327-38E3B5FD66B2}">
  <dimension ref="A1:BJ158"/>
  <sheetViews>
    <sheetView topLeftCell="A10" workbookViewId="0">
      <selection activeCell="G52" sqref="G52"/>
    </sheetView>
  </sheetViews>
  <sheetFormatPr defaultRowHeight="14.5" x14ac:dyDescent="0.35"/>
  <sheetData>
    <row r="1" spans="1:62" ht="58" x14ac:dyDescent="0.35">
      <c r="A1" s="2" t="s">
        <v>0</v>
      </c>
      <c r="B1" s="2" t="s">
        <v>557</v>
      </c>
      <c r="C1" s="2" t="s">
        <v>558</v>
      </c>
      <c r="D1" s="2" t="s">
        <v>559</v>
      </c>
      <c r="E1" s="2" t="s">
        <v>2</v>
      </c>
      <c r="F1" s="2" t="s">
        <v>6</v>
      </c>
      <c r="G1" s="2" t="s">
        <v>4</v>
      </c>
      <c r="H1" s="2" t="s">
        <v>3</v>
      </c>
      <c r="I1" s="2" t="s">
        <v>5</v>
      </c>
      <c r="J1" s="2" t="s">
        <v>560</v>
      </c>
      <c r="K1" s="2" t="s">
        <v>561</v>
      </c>
      <c r="L1" s="2" t="s">
        <v>562</v>
      </c>
      <c r="M1" s="2" t="s">
        <v>563</v>
      </c>
      <c r="N1" s="2" t="s">
        <v>564</v>
      </c>
      <c r="O1" s="2" t="s">
        <v>565</v>
      </c>
      <c r="P1" s="2" t="s">
        <v>566</v>
      </c>
      <c r="Q1" s="2" t="s">
        <v>567</v>
      </c>
      <c r="R1" s="2" t="s">
        <v>568</v>
      </c>
      <c r="S1" s="2" t="s">
        <v>569</v>
      </c>
      <c r="T1" s="2" t="s">
        <v>570</v>
      </c>
      <c r="U1" s="2" t="s">
        <v>571</v>
      </c>
      <c r="V1" s="2" t="s">
        <v>572</v>
      </c>
      <c r="W1" s="2" t="s">
        <v>573</v>
      </c>
      <c r="X1" s="2" t="s">
        <v>574</v>
      </c>
      <c r="Y1" s="2" t="s">
        <v>575</v>
      </c>
      <c r="Z1" s="2" t="s">
        <v>576</v>
      </c>
      <c r="AA1" s="2" t="s">
        <v>577</v>
      </c>
      <c r="AB1" s="2" t="s">
        <v>578</v>
      </c>
      <c r="AC1" s="2" t="s">
        <v>579</v>
      </c>
      <c r="AD1" s="2" t="s">
        <v>580</v>
      </c>
      <c r="AE1" s="2" t="s">
        <v>581</v>
      </c>
      <c r="AF1" s="2" t="s">
        <v>582</v>
      </c>
      <c r="AG1" s="2" t="s">
        <v>583</v>
      </c>
      <c r="AH1" s="2" t="s">
        <v>584</v>
      </c>
      <c r="AI1" s="2" t="s">
        <v>7</v>
      </c>
      <c r="AJ1" s="2" t="s">
        <v>585</v>
      </c>
      <c r="AK1" s="2" t="s">
        <v>586</v>
      </c>
      <c r="AL1" s="2" t="s">
        <v>8</v>
      </c>
      <c r="AM1" s="2" t="s">
        <v>587</v>
      </c>
      <c r="AN1" s="2" t="s">
        <v>9</v>
      </c>
      <c r="AO1" s="2" t="s">
        <v>588</v>
      </c>
      <c r="AP1" s="2" t="s">
        <v>10</v>
      </c>
      <c r="AQ1" s="2" t="s">
        <v>589</v>
      </c>
      <c r="AR1" s="2" t="s">
        <v>11</v>
      </c>
      <c r="AS1" s="2" t="s">
        <v>590</v>
      </c>
      <c r="AT1" s="2" t="s">
        <v>591</v>
      </c>
      <c r="AU1" s="2" t="s">
        <v>12</v>
      </c>
      <c r="AV1" s="2" t="s">
        <v>592</v>
      </c>
      <c r="AW1" s="2" t="s">
        <v>13</v>
      </c>
      <c r="AX1" s="2" t="s">
        <v>593</v>
      </c>
      <c r="AY1" s="2" t="s">
        <v>14</v>
      </c>
      <c r="AZ1" s="2" t="s">
        <v>594</v>
      </c>
      <c r="BA1" s="2" t="s">
        <v>15</v>
      </c>
      <c r="BB1" s="2" t="s">
        <v>595</v>
      </c>
      <c r="BC1" s="2" t="s">
        <v>16</v>
      </c>
      <c r="BD1" s="2" t="s">
        <v>596</v>
      </c>
      <c r="BE1" s="2" t="s">
        <v>17</v>
      </c>
      <c r="BF1" s="2" t="s">
        <v>597</v>
      </c>
      <c r="BG1" s="2" t="s">
        <v>18</v>
      </c>
      <c r="BH1" s="2" t="s">
        <v>598</v>
      </c>
      <c r="BI1" s="2" t="s">
        <v>19</v>
      </c>
      <c r="BJ1" s="2" t="s">
        <v>599</v>
      </c>
    </row>
    <row r="2" spans="1:62" x14ac:dyDescent="0.35">
      <c r="A2" t="s">
        <v>318</v>
      </c>
      <c r="B2" t="s">
        <v>318</v>
      </c>
      <c r="C2" t="s">
        <v>319</v>
      </c>
      <c r="D2" t="s">
        <v>600</v>
      </c>
      <c r="E2" t="s">
        <v>320</v>
      </c>
      <c r="F2" t="s">
        <v>601</v>
      </c>
      <c r="G2" t="s">
        <v>57</v>
      </c>
      <c r="H2" t="s">
        <v>67</v>
      </c>
      <c r="I2" t="s">
        <v>321</v>
      </c>
      <c r="J2">
        <v>5.3</v>
      </c>
      <c r="L2">
        <v>16</v>
      </c>
      <c r="M2">
        <v>3.3</v>
      </c>
      <c r="N2">
        <v>3.75</v>
      </c>
      <c r="P2">
        <v>0</v>
      </c>
      <c r="Q2">
        <v>0</v>
      </c>
      <c r="R2">
        <v>6</v>
      </c>
      <c r="S2">
        <v>7.1</v>
      </c>
      <c r="T2">
        <v>8.5</v>
      </c>
      <c r="U2">
        <v>8</v>
      </c>
      <c r="V2">
        <v>8.3000000000000007</v>
      </c>
      <c r="W2">
        <v>8.3000000000000007</v>
      </c>
      <c r="X2">
        <v>7.1</v>
      </c>
      <c r="Y2">
        <v>8</v>
      </c>
      <c r="AA2">
        <v>7.8</v>
      </c>
      <c r="AB2">
        <v>7.6</v>
      </c>
      <c r="AC2" t="s">
        <v>26</v>
      </c>
      <c r="AD2">
        <v>0</v>
      </c>
      <c r="AE2">
        <v>4.8</v>
      </c>
      <c r="AF2">
        <v>8.8000000000000007</v>
      </c>
      <c r="AG2">
        <v>8</v>
      </c>
      <c r="AH2">
        <v>7.5</v>
      </c>
      <c r="AI2">
        <v>5.7</v>
      </c>
      <c r="AJ2">
        <v>6.7</v>
      </c>
      <c r="AL2">
        <v>3.3</v>
      </c>
      <c r="AM2">
        <v>6.7</v>
      </c>
      <c r="AN2">
        <v>6</v>
      </c>
      <c r="AO2">
        <v>7</v>
      </c>
      <c r="AP2">
        <v>8</v>
      </c>
      <c r="AQ2">
        <v>6</v>
      </c>
      <c r="AR2">
        <v>9.8000000000000007</v>
      </c>
      <c r="AS2">
        <v>8.5</v>
      </c>
      <c r="AT2" t="s">
        <v>602</v>
      </c>
      <c r="AU2">
        <v>10</v>
      </c>
      <c r="AV2">
        <v>10</v>
      </c>
      <c r="AW2">
        <v>9.6</v>
      </c>
      <c r="AX2">
        <v>10</v>
      </c>
      <c r="AY2">
        <v>10</v>
      </c>
      <c r="AZ2">
        <v>10</v>
      </c>
      <c r="BA2">
        <v>9.6</v>
      </c>
      <c r="BB2">
        <v>10</v>
      </c>
      <c r="BC2">
        <v>10</v>
      </c>
      <c r="BD2">
        <v>10</v>
      </c>
      <c r="BE2">
        <v>9.6</v>
      </c>
      <c r="BF2">
        <v>10</v>
      </c>
      <c r="BG2">
        <v>9.6</v>
      </c>
      <c r="BH2">
        <v>10</v>
      </c>
      <c r="BI2">
        <v>9.6</v>
      </c>
      <c r="BJ2">
        <v>10</v>
      </c>
    </row>
    <row r="3" spans="1:62" x14ac:dyDescent="0.35">
      <c r="A3" t="s">
        <v>134</v>
      </c>
      <c r="B3" t="s">
        <v>134</v>
      </c>
      <c r="C3" t="s">
        <v>135</v>
      </c>
      <c r="D3" t="s">
        <v>603</v>
      </c>
      <c r="E3" t="s">
        <v>136</v>
      </c>
      <c r="F3" t="s">
        <v>604</v>
      </c>
      <c r="G3" t="s">
        <v>24</v>
      </c>
      <c r="H3" t="s">
        <v>23</v>
      </c>
      <c r="I3" t="s">
        <v>48</v>
      </c>
      <c r="J3">
        <v>5.7</v>
      </c>
      <c r="L3">
        <v>24</v>
      </c>
      <c r="M3">
        <v>2.4</v>
      </c>
      <c r="N3">
        <v>4.9000000000000004</v>
      </c>
      <c r="P3">
        <v>0</v>
      </c>
      <c r="Q3">
        <v>3.2</v>
      </c>
      <c r="R3">
        <v>2.9</v>
      </c>
      <c r="S3">
        <v>6</v>
      </c>
      <c r="T3">
        <v>6.7</v>
      </c>
      <c r="U3">
        <v>6.8</v>
      </c>
      <c r="V3">
        <v>8.4</v>
      </c>
      <c r="W3">
        <v>8.5</v>
      </c>
      <c r="X3">
        <v>8.1</v>
      </c>
      <c r="Y3">
        <v>8.1999999999999993</v>
      </c>
      <c r="AA3">
        <v>7.4</v>
      </c>
      <c r="AB3">
        <v>7.3</v>
      </c>
      <c r="AC3">
        <v>8.6</v>
      </c>
      <c r="AD3">
        <v>8.6</v>
      </c>
      <c r="AE3">
        <v>6.3</v>
      </c>
      <c r="AF3">
        <v>9.4</v>
      </c>
      <c r="AG3">
        <v>8.8000000000000007</v>
      </c>
      <c r="AH3">
        <v>8.1999999999999993</v>
      </c>
      <c r="AI3">
        <v>7.7</v>
      </c>
      <c r="AJ3">
        <v>7.1</v>
      </c>
      <c r="AK3" t="s">
        <v>605</v>
      </c>
      <c r="AL3">
        <v>7.3</v>
      </c>
      <c r="AM3">
        <v>7.3</v>
      </c>
      <c r="AN3">
        <v>8</v>
      </c>
      <c r="AO3">
        <v>7</v>
      </c>
      <c r="AP3">
        <v>8</v>
      </c>
      <c r="AQ3">
        <v>8</v>
      </c>
      <c r="AR3">
        <v>8.5</v>
      </c>
      <c r="AS3">
        <v>8.5</v>
      </c>
      <c r="AU3">
        <v>10</v>
      </c>
      <c r="AV3">
        <v>10</v>
      </c>
      <c r="AW3">
        <v>10</v>
      </c>
      <c r="AX3">
        <v>10</v>
      </c>
      <c r="AY3">
        <v>10</v>
      </c>
      <c r="AZ3">
        <v>10</v>
      </c>
      <c r="BA3">
        <v>10</v>
      </c>
      <c r="BB3">
        <v>10</v>
      </c>
      <c r="BC3">
        <v>10</v>
      </c>
      <c r="BD3">
        <v>10</v>
      </c>
      <c r="BE3">
        <v>10</v>
      </c>
      <c r="BF3">
        <v>10</v>
      </c>
      <c r="BG3">
        <v>10</v>
      </c>
      <c r="BH3">
        <v>10</v>
      </c>
      <c r="BI3">
        <v>10</v>
      </c>
      <c r="BJ3">
        <v>10</v>
      </c>
    </row>
    <row r="4" spans="1:62" x14ac:dyDescent="0.35">
      <c r="A4" t="s">
        <v>137</v>
      </c>
      <c r="B4" t="s">
        <v>137</v>
      </c>
      <c r="C4" t="s">
        <v>135</v>
      </c>
      <c r="D4" t="s">
        <v>606</v>
      </c>
      <c r="E4" t="s">
        <v>138</v>
      </c>
      <c r="F4" t="s">
        <v>607</v>
      </c>
      <c r="G4" t="s">
        <v>39</v>
      </c>
      <c r="H4" t="s">
        <v>23</v>
      </c>
      <c r="I4" t="s">
        <v>25</v>
      </c>
      <c r="J4">
        <v>4.2</v>
      </c>
      <c r="L4">
        <v>39</v>
      </c>
      <c r="M4">
        <v>2.4</v>
      </c>
      <c r="N4">
        <v>4.9000000000000004</v>
      </c>
      <c r="P4">
        <v>0</v>
      </c>
      <c r="Q4">
        <v>3.2</v>
      </c>
      <c r="R4">
        <v>2.9</v>
      </c>
      <c r="S4">
        <v>6</v>
      </c>
      <c r="T4">
        <v>6.2</v>
      </c>
      <c r="U4">
        <v>6.8</v>
      </c>
      <c r="V4">
        <v>9</v>
      </c>
      <c r="W4">
        <v>8.5</v>
      </c>
      <c r="X4">
        <v>4</v>
      </c>
      <c r="Y4">
        <v>8.1999999999999993</v>
      </c>
      <c r="AA4">
        <v>6.7</v>
      </c>
      <c r="AB4">
        <v>7.3</v>
      </c>
      <c r="AC4">
        <v>0</v>
      </c>
      <c r="AD4">
        <v>8.6</v>
      </c>
      <c r="AE4">
        <v>4.7</v>
      </c>
      <c r="AF4">
        <v>9.4</v>
      </c>
      <c r="AG4">
        <v>6.5</v>
      </c>
      <c r="AH4">
        <v>8.1999999999999993</v>
      </c>
      <c r="AI4">
        <v>8.3000000000000007</v>
      </c>
      <c r="AJ4">
        <v>7.1</v>
      </c>
      <c r="AK4" t="s">
        <v>608</v>
      </c>
      <c r="AL4">
        <v>8.6999999999999993</v>
      </c>
      <c r="AM4">
        <v>7.3</v>
      </c>
      <c r="AN4">
        <v>8</v>
      </c>
      <c r="AO4">
        <v>7</v>
      </c>
      <c r="AP4">
        <v>8</v>
      </c>
      <c r="AQ4">
        <v>8</v>
      </c>
      <c r="AR4">
        <v>8.3000000000000007</v>
      </c>
      <c r="AS4">
        <v>8.5</v>
      </c>
      <c r="AU4">
        <v>10</v>
      </c>
      <c r="AV4">
        <v>10</v>
      </c>
      <c r="AW4">
        <v>10</v>
      </c>
      <c r="AX4">
        <v>10</v>
      </c>
      <c r="AY4">
        <v>10</v>
      </c>
      <c r="AZ4">
        <v>10</v>
      </c>
      <c r="BA4">
        <v>10</v>
      </c>
      <c r="BB4">
        <v>10</v>
      </c>
      <c r="BC4">
        <v>10</v>
      </c>
      <c r="BD4">
        <v>10</v>
      </c>
      <c r="BE4">
        <v>8</v>
      </c>
      <c r="BF4">
        <v>10</v>
      </c>
      <c r="BG4">
        <v>10</v>
      </c>
      <c r="BH4">
        <v>10</v>
      </c>
      <c r="BI4">
        <v>10</v>
      </c>
      <c r="BJ4">
        <v>10</v>
      </c>
    </row>
    <row r="5" spans="1:62" x14ac:dyDescent="0.35">
      <c r="A5" t="s">
        <v>222</v>
      </c>
      <c r="B5" t="s">
        <v>222</v>
      </c>
      <c r="C5" t="s">
        <v>223</v>
      </c>
      <c r="D5" t="s">
        <v>609</v>
      </c>
      <c r="E5" t="s">
        <v>224</v>
      </c>
      <c r="F5" t="s">
        <v>610</v>
      </c>
      <c r="G5" t="s">
        <v>24</v>
      </c>
      <c r="H5" t="s">
        <v>23</v>
      </c>
      <c r="I5" t="s">
        <v>185</v>
      </c>
      <c r="J5">
        <v>5.2</v>
      </c>
      <c r="L5">
        <v>38</v>
      </c>
      <c r="M5">
        <v>2.8</v>
      </c>
      <c r="N5">
        <v>5.6</v>
      </c>
      <c r="P5">
        <v>0</v>
      </c>
      <c r="Q5">
        <v>4.0999999999999996</v>
      </c>
      <c r="R5">
        <v>7.1</v>
      </c>
      <c r="S5">
        <v>7.5</v>
      </c>
      <c r="T5">
        <v>3.6</v>
      </c>
      <c r="U5">
        <v>5.9</v>
      </c>
      <c r="V5">
        <v>8.4</v>
      </c>
      <c r="W5">
        <v>8.3000000000000007</v>
      </c>
      <c r="X5">
        <v>7.5</v>
      </c>
      <c r="Y5">
        <v>8.4</v>
      </c>
      <c r="AA5">
        <v>4.8</v>
      </c>
      <c r="AB5">
        <v>7.4</v>
      </c>
      <c r="AC5" t="s">
        <v>26</v>
      </c>
      <c r="AD5">
        <v>0</v>
      </c>
      <c r="AE5">
        <v>8.1999999999999993</v>
      </c>
      <c r="AF5">
        <v>9.5</v>
      </c>
      <c r="AG5">
        <v>8.5</v>
      </c>
      <c r="AH5">
        <v>8.5</v>
      </c>
      <c r="AI5">
        <v>5.5</v>
      </c>
      <c r="AJ5">
        <v>6.7</v>
      </c>
      <c r="AL5">
        <v>5.3</v>
      </c>
      <c r="AM5">
        <v>6.7</v>
      </c>
      <c r="AN5">
        <v>5</v>
      </c>
      <c r="AO5">
        <v>7</v>
      </c>
      <c r="AP5">
        <v>6</v>
      </c>
      <c r="AQ5">
        <v>7.5</v>
      </c>
      <c r="AR5" t="s">
        <v>26</v>
      </c>
      <c r="AS5">
        <v>8.5</v>
      </c>
      <c r="AU5" t="s">
        <v>26</v>
      </c>
      <c r="AV5">
        <v>10</v>
      </c>
      <c r="AW5" t="s">
        <v>26</v>
      </c>
      <c r="AX5">
        <v>10</v>
      </c>
      <c r="AY5" t="s">
        <v>26</v>
      </c>
      <c r="AZ5">
        <v>10</v>
      </c>
      <c r="BA5" t="s">
        <v>26</v>
      </c>
      <c r="BB5">
        <v>10</v>
      </c>
      <c r="BC5" t="s">
        <v>26</v>
      </c>
      <c r="BD5">
        <v>10</v>
      </c>
      <c r="BE5" t="s">
        <v>26</v>
      </c>
      <c r="BF5">
        <v>10</v>
      </c>
      <c r="BG5" t="s">
        <v>26</v>
      </c>
      <c r="BH5">
        <v>10</v>
      </c>
      <c r="BI5" t="s">
        <v>26</v>
      </c>
      <c r="BJ5">
        <v>10</v>
      </c>
    </row>
    <row r="6" spans="1:62" x14ac:dyDescent="0.35">
      <c r="A6" t="s">
        <v>139</v>
      </c>
      <c r="B6" t="s">
        <v>139</v>
      </c>
      <c r="C6" t="s">
        <v>135</v>
      </c>
      <c r="D6" t="s">
        <v>611</v>
      </c>
      <c r="E6" t="s">
        <v>140</v>
      </c>
      <c r="F6" t="s">
        <v>612</v>
      </c>
      <c r="G6" t="s">
        <v>39</v>
      </c>
      <c r="H6" t="s">
        <v>23</v>
      </c>
      <c r="I6" t="s">
        <v>25</v>
      </c>
      <c r="J6">
        <v>7.9</v>
      </c>
      <c r="K6" t="s">
        <v>605</v>
      </c>
      <c r="L6">
        <v>8</v>
      </c>
      <c r="M6">
        <v>8</v>
      </c>
      <c r="N6">
        <v>4.9000000000000004</v>
      </c>
      <c r="O6" t="s">
        <v>605</v>
      </c>
      <c r="P6">
        <v>7.7</v>
      </c>
      <c r="Q6">
        <v>3.2</v>
      </c>
      <c r="R6">
        <v>9.3000000000000007</v>
      </c>
      <c r="S6">
        <v>6</v>
      </c>
      <c r="T6">
        <v>7</v>
      </c>
      <c r="U6">
        <v>6.8</v>
      </c>
      <c r="V6">
        <v>8.5</v>
      </c>
      <c r="W6">
        <v>8.5</v>
      </c>
      <c r="X6">
        <v>7.9</v>
      </c>
      <c r="Y6">
        <v>8.1999999999999993</v>
      </c>
      <c r="AA6">
        <v>6.1</v>
      </c>
      <c r="AB6">
        <v>7.3</v>
      </c>
      <c r="AC6">
        <v>8.5</v>
      </c>
      <c r="AD6">
        <v>8.6</v>
      </c>
      <c r="AE6">
        <v>6.5</v>
      </c>
      <c r="AF6">
        <v>9.4</v>
      </c>
      <c r="AG6">
        <v>8.5</v>
      </c>
      <c r="AH6">
        <v>8.1999999999999993</v>
      </c>
      <c r="AI6">
        <v>7.5</v>
      </c>
      <c r="AJ6">
        <v>7.1</v>
      </c>
      <c r="AK6" t="s">
        <v>605</v>
      </c>
      <c r="AL6">
        <v>7.3</v>
      </c>
      <c r="AM6">
        <v>7.3</v>
      </c>
      <c r="AN6">
        <v>7</v>
      </c>
      <c r="AO6">
        <v>7</v>
      </c>
      <c r="AP6">
        <v>8</v>
      </c>
      <c r="AQ6">
        <v>8</v>
      </c>
      <c r="AR6" t="s">
        <v>26</v>
      </c>
      <c r="AS6">
        <v>8.5</v>
      </c>
      <c r="AU6" t="s">
        <v>26</v>
      </c>
      <c r="AV6">
        <v>10</v>
      </c>
      <c r="AW6" t="s">
        <v>26</v>
      </c>
      <c r="AX6">
        <v>10</v>
      </c>
      <c r="AY6" t="s">
        <v>26</v>
      </c>
      <c r="AZ6">
        <v>10</v>
      </c>
      <c r="BA6" t="s">
        <v>26</v>
      </c>
      <c r="BB6">
        <v>10</v>
      </c>
      <c r="BC6" t="s">
        <v>26</v>
      </c>
      <c r="BD6">
        <v>10</v>
      </c>
      <c r="BE6" t="s">
        <v>26</v>
      </c>
      <c r="BF6">
        <v>10</v>
      </c>
      <c r="BG6" t="s">
        <v>26</v>
      </c>
      <c r="BH6">
        <v>10</v>
      </c>
      <c r="BI6" t="s">
        <v>26</v>
      </c>
      <c r="BJ6">
        <v>10</v>
      </c>
    </row>
    <row r="7" spans="1:62" x14ac:dyDescent="0.35">
      <c r="A7" t="s">
        <v>143</v>
      </c>
      <c r="B7" t="s">
        <v>143</v>
      </c>
      <c r="C7" t="s">
        <v>135</v>
      </c>
      <c r="D7" t="s">
        <v>613</v>
      </c>
      <c r="E7" t="s">
        <v>144</v>
      </c>
      <c r="F7" t="s">
        <v>614</v>
      </c>
      <c r="G7" t="s">
        <v>24</v>
      </c>
      <c r="H7" t="s">
        <v>23</v>
      </c>
      <c r="I7" t="s">
        <v>33</v>
      </c>
      <c r="J7">
        <v>5.7</v>
      </c>
      <c r="L7">
        <v>27</v>
      </c>
      <c r="M7">
        <v>2.2999999999999998</v>
      </c>
      <c r="N7">
        <v>4.9000000000000004</v>
      </c>
      <c r="P7">
        <v>0</v>
      </c>
      <c r="Q7">
        <v>3.2</v>
      </c>
      <c r="R7">
        <v>2.9</v>
      </c>
      <c r="S7">
        <v>6</v>
      </c>
      <c r="T7">
        <v>6</v>
      </c>
      <c r="U7">
        <v>6.8</v>
      </c>
      <c r="V7">
        <v>8.4</v>
      </c>
      <c r="W7">
        <v>8.5</v>
      </c>
      <c r="X7">
        <v>8.1999999999999993</v>
      </c>
      <c r="Y7">
        <v>8.1999999999999993</v>
      </c>
      <c r="AA7">
        <v>7.8</v>
      </c>
      <c r="AB7">
        <v>7.3</v>
      </c>
      <c r="AC7">
        <v>8</v>
      </c>
      <c r="AD7">
        <v>8.6</v>
      </c>
      <c r="AE7">
        <v>8.9</v>
      </c>
      <c r="AF7">
        <v>9.4</v>
      </c>
      <c r="AG7">
        <v>8.1999999999999993</v>
      </c>
      <c r="AH7">
        <v>8.1999999999999993</v>
      </c>
      <c r="AI7">
        <v>7.4</v>
      </c>
      <c r="AJ7">
        <v>7.1</v>
      </c>
      <c r="AL7">
        <v>8</v>
      </c>
      <c r="AM7">
        <v>7.3</v>
      </c>
      <c r="AN7">
        <v>7</v>
      </c>
      <c r="AO7">
        <v>7</v>
      </c>
      <c r="AP7" t="s">
        <v>26</v>
      </c>
      <c r="AQ7">
        <v>8</v>
      </c>
      <c r="AR7" t="s">
        <v>26</v>
      </c>
      <c r="AS7">
        <v>8.5</v>
      </c>
      <c r="AU7" t="s">
        <v>26</v>
      </c>
      <c r="AV7">
        <v>10</v>
      </c>
      <c r="AW7" t="s">
        <v>26</v>
      </c>
      <c r="AX7">
        <v>10</v>
      </c>
      <c r="AY7" t="s">
        <v>26</v>
      </c>
      <c r="AZ7">
        <v>10</v>
      </c>
      <c r="BA7" t="s">
        <v>26</v>
      </c>
      <c r="BB7">
        <v>10</v>
      </c>
      <c r="BC7" t="s">
        <v>26</v>
      </c>
      <c r="BD7">
        <v>10</v>
      </c>
      <c r="BE7" t="s">
        <v>26</v>
      </c>
      <c r="BF7">
        <v>10</v>
      </c>
      <c r="BG7" t="s">
        <v>26</v>
      </c>
      <c r="BH7">
        <v>10</v>
      </c>
      <c r="BI7" t="s">
        <v>26</v>
      </c>
      <c r="BJ7">
        <v>10</v>
      </c>
    </row>
    <row r="8" spans="1:62" x14ac:dyDescent="0.35">
      <c r="A8" t="s">
        <v>145</v>
      </c>
      <c r="B8" t="s">
        <v>145</v>
      </c>
      <c r="C8" t="s">
        <v>135</v>
      </c>
      <c r="D8" t="s">
        <v>615</v>
      </c>
      <c r="E8" t="s">
        <v>146</v>
      </c>
      <c r="F8" t="s">
        <v>616</v>
      </c>
      <c r="G8" t="s">
        <v>24</v>
      </c>
      <c r="H8" t="s">
        <v>23</v>
      </c>
      <c r="I8" t="s">
        <v>36</v>
      </c>
      <c r="J8">
        <v>5.3</v>
      </c>
      <c r="L8">
        <v>36</v>
      </c>
      <c r="M8">
        <v>2.4</v>
      </c>
      <c r="N8">
        <v>4.9000000000000004</v>
      </c>
      <c r="P8">
        <v>0</v>
      </c>
      <c r="Q8">
        <v>3.2</v>
      </c>
      <c r="R8">
        <v>2.9</v>
      </c>
      <c r="S8">
        <v>6</v>
      </c>
      <c r="T8">
        <v>7</v>
      </c>
      <c r="U8">
        <v>6.8</v>
      </c>
      <c r="V8">
        <v>8.1</v>
      </c>
      <c r="W8">
        <v>8.5</v>
      </c>
      <c r="X8">
        <v>7</v>
      </c>
      <c r="Y8">
        <v>8.1999999999999993</v>
      </c>
      <c r="AA8">
        <v>5.0999999999999996</v>
      </c>
      <c r="AB8">
        <v>7.3</v>
      </c>
      <c r="AC8">
        <v>8.1</v>
      </c>
      <c r="AD8">
        <v>8.6</v>
      </c>
      <c r="AE8">
        <v>7.1</v>
      </c>
      <c r="AF8">
        <v>9.4</v>
      </c>
      <c r="AG8">
        <v>7</v>
      </c>
      <c r="AH8">
        <v>8.1999999999999993</v>
      </c>
      <c r="AI8">
        <v>7.6</v>
      </c>
      <c r="AJ8">
        <v>7.1</v>
      </c>
      <c r="AK8" t="s">
        <v>605</v>
      </c>
      <c r="AL8">
        <v>8</v>
      </c>
      <c r="AM8">
        <v>7.3</v>
      </c>
      <c r="AN8">
        <v>6</v>
      </c>
      <c r="AO8">
        <v>7</v>
      </c>
      <c r="AP8">
        <v>8</v>
      </c>
      <c r="AQ8">
        <v>8</v>
      </c>
      <c r="AR8" t="s">
        <v>26</v>
      </c>
      <c r="AS8">
        <v>8.5</v>
      </c>
      <c r="AU8" t="s">
        <v>26</v>
      </c>
      <c r="AV8">
        <v>10</v>
      </c>
      <c r="AW8" t="s">
        <v>26</v>
      </c>
      <c r="AX8">
        <v>10</v>
      </c>
      <c r="AY8" t="s">
        <v>26</v>
      </c>
      <c r="AZ8">
        <v>10</v>
      </c>
      <c r="BA8" t="s">
        <v>26</v>
      </c>
      <c r="BB8">
        <v>10</v>
      </c>
      <c r="BC8" t="s">
        <v>26</v>
      </c>
      <c r="BD8">
        <v>10</v>
      </c>
      <c r="BE8" t="s">
        <v>26</v>
      </c>
      <c r="BF8">
        <v>10</v>
      </c>
      <c r="BG8" t="s">
        <v>26</v>
      </c>
      <c r="BH8">
        <v>10</v>
      </c>
      <c r="BI8" t="s">
        <v>26</v>
      </c>
      <c r="BJ8">
        <v>10</v>
      </c>
    </row>
    <row r="9" spans="1:62" x14ac:dyDescent="0.35">
      <c r="A9" t="s">
        <v>225</v>
      </c>
      <c r="B9" t="s">
        <v>617</v>
      </c>
      <c r="C9" t="s">
        <v>223</v>
      </c>
      <c r="D9" t="s">
        <v>618</v>
      </c>
      <c r="E9" t="s">
        <v>226</v>
      </c>
      <c r="F9" t="s">
        <v>619</v>
      </c>
      <c r="G9" t="s">
        <v>24</v>
      </c>
      <c r="H9" t="s">
        <v>227</v>
      </c>
      <c r="I9" t="s">
        <v>228</v>
      </c>
      <c r="J9">
        <v>6.1</v>
      </c>
      <c r="L9">
        <v>28</v>
      </c>
      <c r="M9">
        <v>5.3</v>
      </c>
      <c r="N9">
        <v>5.6</v>
      </c>
      <c r="P9">
        <v>4.0999999999999996</v>
      </c>
      <c r="Q9">
        <v>4.0999999999999996</v>
      </c>
      <c r="R9">
        <v>7.5</v>
      </c>
      <c r="S9">
        <v>7.5</v>
      </c>
      <c r="T9">
        <v>4.2</v>
      </c>
      <c r="U9">
        <v>5.9</v>
      </c>
      <c r="V9">
        <v>9.1999999999999993</v>
      </c>
      <c r="W9">
        <v>8.3000000000000007</v>
      </c>
      <c r="X9">
        <v>6.5</v>
      </c>
      <c r="Y9">
        <v>8.4</v>
      </c>
      <c r="AA9">
        <v>10</v>
      </c>
      <c r="AB9">
        <v>7.4</v>
      </c>
      <c r="AC9" t="s">
        <v>26</v>
      </c>
      <c r="AD9">
        <v>0</v>
      </c>
      <c r="AE9">
        <v>0</v>
      </c>
      <c r="AF9">
        <v>9.5</v>
      </c>
      <c r="AG9">
        <v>9</v>
      </c>
      <c r="AH9">
        <v>8.5</v>
      </c>
      <c r="AI9">
        <v>6.6</v>
      </c>
      <c r="AJ9">
        <v>6.7</v>
      </c>
      <c r="AL9">
        <v>6</v>
      </c>
      <c r="AM9">
        <v>6.7</v>
      </c>
      <c r="AN9">
        <v>7</v>
      </c>
      <c r="AO9">
        <v>7</v>
      </c>
      <c r="AP9">
        <v>7</v>
      </c>
      <c r="AQ9">
        <v>7.5</v>
      </c>
      <c r="AR9" t="s">
        <v>26</v>
      </c>
      <c r="AS9">
        <v>8.5</v>
      </c>
      <c r="AU9" t="s">
        <v>26</v>
      </c>
      <c r="AV9">
        <v>10</v>
      </c>
      <c r="AW9" t="s">
        <v>26</v>
      </c>
      <c r="AX9">
        <v>10</v>
      </c>
      <c r="AY9" t="s">
        <v>26</v>
      </c>
      <c r="AZ9">
        <v>10</v>
      </c>
      <c r="BA9" t="s">
        <v>26</v>
      </c>
      <c r="BB9">
        <v>10</v>
      </c>
      <c r="BC9" t="s">
        <v>26</v>
      </c>
      <c r="BD9">
        <v>10</v>
      </c>
      <c r="BE9" t="s">
        <v>26</v>
      </c>
      <c r="BF9">
        <v>10</v>
      </c>
      <c r="BG9" t="s">
        <v>26</v>
      </c>
      <c r="BH9">
        <v>10</v>
      </c>
      <c r="BI9" t="s">
        <v>26</v>
      </c>
      <c r="BJ9">
        <v>10</v>
      </c>
    </row>
    <row r="10" spans="1:62" x14ac:dyDescent="0.35">
      <c r="A10" t="s">
        <v>149</v>
      </c>
      <c r="B10" t="s">
        <v>149</v>
      </c>
      <c r="C10" t="s">
        <v>135</v>
      </c>
      <c r="D10" t="s">
        <v>620</v>
      </c>
      <c r="E10" t="s">
        <v>150</v>
      </c>
      <c r="F10" t="s">
        <v>621</v>
      </c>
      <c r="G10" t="s">
        <v>39</v>
      </c>
      <c r="H10" t="s">
        <v>23</v>
      </c>
      <c r="I10" t="s">
        <v>25</v>
      </c>
      <c r="J10">
        <v>7.1</v>
      </c>
      <c r="L10">
        <v>14</v>
      </c>
      <c r="M10">
        <v>5.9</v>
      </c>
      <c r="N10">
        <v>4.9000000000000004</v>
      </c>
      <c r="P10">
        <v>6.2</v>
      </c>
      <c r="Q10">
        <v>3.2</v>
      </c>
      <c r="R10">
        <v>2.9</v>
      </c>
      <c r="S10">
        <v>6</v>
      </c>
      <c r="T10">
        <v>7.6</v>
      </c>
      <c r="U10">
        <v>6.8</v>
      </c>
      <c r="V10">
        <v>8.3000000000000007</v>
      </c>
      <c r="W10">
        <v>8.5</v>
      </c>
      <c r="X10">
        <v>7.5</v>
      </c>
      <c r="Y10">
        <v>8.1999999999999993</v>
      </c>
      <c r="AA10">
        <v>6.7</v>
      </c>
      <c r="AB10">
        <v>7.3</v>
      </c>
      <c r="AC10">
        <v>8.1999999999999993</v>
      </c>
      <c r="AD10">
        <v>8.6</v>
      </c>
      <c r="AE10">
        <v>6.8</v>
      </c>
      <c r="AF10">
        <v>9.4</v>
      </c>
      <c r="AG10">
        <v>7.8</v>
      </c>
      <c r="AH10">
        <v>8.1999999999999993</v>
      </c>
      <c r="AI10">
        <v>8.6</v>
      </c>
      <c r="AJ10">
        <v>7.1</v>
      </c>
      <c r="AK10" t="s">
        <v>622</v>
      </c>
      <c r="AL10">
        <v>8</v>
      </c>
      <c r="AM10">
        <v>7.3</v>
      </c>
      <c r="AN10">
        <v>7</v>
      </c>
      <c r="AO10">
        <v>7</v>
      </c>
      <c r="AP10">
        <v>10</v>
      </c>
      <c r="AQ10">
        <v>8</v>
      </c>
      <c r="AR10">
        <v>7.8</v>
      </c>
      <c r="AS10">
        <v>8.5</v>
      </c>
      <c r="AU10">
        <v>10</v>
      </c>
      <c r="AV10">
        <v>10</v>
      </c>
      <c r="AW10">
        <v>10</v>
      </c>
      <c r="AX10">
        <v>10</v>
      </c>
      <c r="AY10">
        <v>8</v>
      </c>
      <c r="AZ10">
        <v>10</v>
      </c>
      <c r="BA10">
        <v>10</v>
      </c>
      <c r="BB10">
        <v>10</v>
      </c>
      <c r="BC10">
        <v>6</v>
      </c>
      <c r="BD10">
        <v>10</v>
      </c>
      <c r="BE10">
        <v>8</v>
      </c>
      <c r="BF10">
        <v>10</v>
      </c>
      <c r="BG10">
        <v>10</v>
      </c>
      <c r="BH10">
        <v>10</v>
      </c>
      <c r="BI10">
        <v>10</v>
      </c>
      <c r="BJ10">
        <v>10</v>
      </c>
    </row>
    <row r="11" spans="1:62" x14ac:dyDescent="0.35">
      <c r="A11" t="s">
        <v>20</v>
      </c>
      <c r="B11" t="s">
        <v>20</v>
      </c>
      <c r="C11" t="s">
        <v>21</v>
      </c>
      <c r="D11" t="s">
        <v>623</v>
      </c>
      <c r="E11" t="s">
        <v>22</v>
      </c>
      <c r="F11" t="s">
        <v>624</v>
      </c>
      <c r="G11" t="s">
        <v>24</v>
      </c>
      <c r="H11" t="s">
        <v>23</v>
      </c>
      <c r="I11" t="s">
        <v>25</v>
      </c>
      <c r="J11">
        <v>6.8</v>
      </c>
      <c r="K11" t="s">
        <v>605</v>
      </c>
      <c r="L11">
        <v>10</v>
      </c>
      <c r="M11">
        <v>5.0999999999999996</v>
      </c>
      <c r="N11">
        <v>3.6</v>
      </c>
      <c r="P11">
        <v>3.1</v>
      </c>
      <c r="Q11">
        <v>1</v>
      </c>
      <c r="R11">
        <v>7.5</v>
      </c>
      <c r="S11">
        <v>7.1</v>
      </c>
      <c r="T11">
        <v>6.4</v>
      </c>
      <c r="U11">
        <v>6.3</v>
      </c>
      <c r="V11">
        <v>9.8000000000000007</v>
      </c>
      <c r="W11">
        <v>8.9</v>
      </c>
      <c r="X11">
        <v>8.3000000000000007</v>
      </c>
      <c r="Y11">
        <v>7.8</v>
      </c>
      <c r="Z11" t="s">
        <v>605</v>
      </c>
      <c r="AA11">
        <v>9.5</v>
      </c>
      <c r="AB11">
        <v>7.6</v>
      </c>
      <c r="AC11">
        <v>7.6</v>
      </c>
      <c r="AD11">
        <v>7.5</v>
      </c>
      <c r="AE11">
        <v>7.4</v>
      </c>
      <c r="AF11">
        <v>7.4</v>
      </c>
      <c r="AG11">
        <v>8.6999999999999993</v>
      </c>
      <c r="AH11">
        <v>8.6999999999999993</v>
      </c>
      <c r="AI11">
        <v>7.2</v>
      </c>
      <c r="AJ11">
        <v>7.1</v>
      </c>
      <c r="AL11">
        <v>6</v>
      </c>
      <c r="AM11">
        <v>6.7</v>
      </c>
      <c r="AN11">
        <v>6</v>
      </c>
      <c r="AO11">
        <v>6</v>
      </c>
      <c r="AP11">
        <v>9</v>
      </c>
      <c r="AQ11">
        <v>7.5</v>
      </c>
      <c r="AR11" t="s">
        <v>26</v>
      </c>
      <c r="AS11">
        <v>8.3000000000000007</v>
      </c>
      <c r="AU11" t="s">
        <v>26</v>
      </c>
      <c r="AV11">
        <v>10</v>
      </c>
      <c r="AW11" t="s">
        <v>26</v>
      </c>
      <c r="AX11">
        <v>10</v>
      </c>
      <c r="AY11" t="s">
        <v>26</v>
      </c>
      <c r="AZ11">
        <v>10</v>
      </c>
      <c r="BA11" t="s">
        <v>26</v>
      </c>
      <c r="BB11">
        <v>10</v>
      </c>
      <c r="BC11" t="s">
        <v>26</v>
      </c>
      <c r="BD11">
        <v>10</v>
      </c>
      <c r="BE11" t="s">
        <v>26</v>
      </c>
      <c r="BF11">
        <v>10</v>
      </c>
      <c r="BG11" t="s">
        <v>26</v>
      </c>
      <c r="BH11">
        <v>10</v>
      </c>
      <c r="BI11" t="s">
        <v>26</v>
      </c>
      <c r="BJ11">
        <v>10</v>
      </c>
    </row>
    <row r="12" spans="1:62" x14ac:dyDescent="0.35">
      <c r="A12" t="s">
        <v>365</v>
      </c>
      <c r="B12" t="s">
        <v>365</v>
      </c>
      <c r="C12" t="s">
        <v>366</v>
      </c>
      <c r="D12" t="s">
        <v>625</v>
      </c>
      <c r="E12" t="s">
        <v>367</v>
      </c>
      <c r="F12" t="s">
        <v>626</v>
      </c>
      <c r="G12" t="s">
        <v>24</v>
      </c>
      <c r="H12" t="s">
        <v>23</v>
      </c>
      <c r="I12" t="s">
        <v>166</v>
      </c>
      <c r="J12">
        <v>5.3</v>
      </c>
      <c r="L12">
        <v>15</v>
      </c>
      <c r="M12">
        <v>2.4</v>
      </c>
      <c r="N12">
        <v>3.35</v>
      </c>
      <c r="P12">
        <v>0</v>
      </c>
      <c r="Q12">
        <v>0</v>
      </c>
      <c r="R12">
        <v>0</v>
      </c>
      <c r="S12">
        <v>7.1</v>
      </c>
      <c r="T12">
        <v>9.4</v>
      </c>
      <c r="U12">
        <v>7.1</v>
      </c>
      <c r="V12">
        <v>10</v>
      </c>
      <c r="W12">
        <v>8.9</v>
      </c>
      <c r="X12">
        <v>7.6</v>
      </c>
      <c r="Y12">
        <v>8.6</v>
      </c>
      <c r="AA12">
        <v>8.6</v>
      </c>
      <c r="AB12">
        <v>8.6</v>
      </c>
      <c r="AC12" t="s">
        <v>26</v>
      </c>
      <c r="AD12">
        <v>0</v>
      </c>
      <c r="AE12">
        <v>8.3000000000000007</v>
      </c>
      <c r="AF12">
        <v>8.9</v>
      </c>
      <c r="AG12">
        <v>7</v>
      </c>
      <c r="AH12">
        <v>8.6999999999999993</v>
      </c>
      <c r="AI12">
        <v>6.5</v>
      </c>
      <c r="AJ12">
        <v>6.4</v>
      </c>
      <c r="AK12" t="s">
        <v>605</v>
      </c>
      <c r="AL12">
        <v>6.7</v>
      </c>
      <c r="AM12">
        <v>5.3</v>
      </c>
      <c r="AN12">
        <v>7</v>
      </c>
      <c r="AO12">
        <v>7</v>
      </c>
      <c r="AP12">
        <v>6</v>
      </c>
      <c r="AQ12">
        <v>7.5</v>
      </c>
      <c r="AR12">
        <v>8.5</v>
      </c>
      <c r="AS12">
        <v>8.3000000000000007</v>
      </c>
      <c r="AT12" t="s">
        <v>605</v>
      </c>
      <c r="AU12">
        <v>10</v>
      </c>
      <c r="AV12">
        <v>10</v>
      </c>
      <c r="AW12">
        <v>10</v>
      </c>
      <c r="AX12">
        <v>10</v>
      </c>
      <c r="AY12">
        <v>10</v>
      </c>
      <c r="AZ12">
        <v>10</v>
      </c>
      <c r="BA12">
        <v>10</v>
      </c>
      <c r="BB12">
        <v>10</v>
      </c>
      <c r="BC12">
        <v>10</v>
      </c>
      <c r="BD12">
        <v>10</v>
      </c>
      <c r="BE12">
        <v>10</v>
      </c>
      <c r="BF12">
        <v>10</v>
      </c>
      <c r="BG12">
        <v>10</v>
      </c>
      <c r="BH12">
        <v>10</v>
      </c>
      <c r="BI12">
        <v>10</v>
      </c>
      <c r="BJ12">
        <v>10</v>
      </c>
    </row>
    <row r="13" spans="1:62" x14ac:dyDescent="0.35">
      <c r="A13" t="s">
        <v>229</v>
      </c>
      <c r="B13" t="s">
        <v>229</v>
      </c>
      <c r="C13" t="s">
        <v>223</v>
      </c>
      <c r="D13" t="s">
        <v>627</v>
      </c>
      <c r="E13" t="s">
        <v>230</v>
      </c>
      <c r="F13" t="s">
        <v>628</v>
      </c>
      <c r="G13" t="s">
        <v>24</v>
      </c>
      <c r="H13" t="s">
        <v>23</v>
      </c>
      <c r="I13" t="s">
        <v>166</v>
      </c>
      <c r="J13">
        <v>5.0999999999999996</v>
      </c>
      <c r="L13">
        <v>40</v>
      </c>
      <c r="M13">
        <v>2.2999999999999998</v>
      </c>
      <c r="N13">
        <v>5.6</v>
      </c>
      <c r="P13">
        <v>0</v>
      </c>
      <c r="Q13">
        <v>4.0999999999999996</v>
      </c>
      <c r="R13">
        <v>5.8</v>
      </c>
      <c r="S13">
        <v>7.5</v>
      </c>
      <c r="T13">
        <v>2.6</v>
      </c>
      <c r="U13">
        <v>5.9</v>
      </c>
      <c r="V13">
        <v>7.5</v>
      </c>
      <c r="W13">
        <v>8.3000000000000007</v>
      </c>
      <c r="X13">
        <v>7.2</v>
      </c>
      <c r="Y13">
        <v>8.4</v>
      </c>
      <c r="AA13">
        <v>5.3</v>
      </c>
      <c r="AB13">
        <v>7.4</v>
      </c>
      <c r="AC13" t="s">
        <v>26</v>
      </c>
      <c r="AD13">
        <v>0</v>
      </c>
      <c r="AE13">
        <v>9.1999999999999993</v>
      </c>
      <c r="AF13">
        <v>9.5</v>
      </c>
      <c r="AG13">
        <v>7</v>
      </c>
      <c r="AH13">
        <v>8.5</v>
      </c>
      <c r="AI13">
        <v>6.7</v>
      </c>
      <c r="AJ13">
        <v>6.7</v>
      </c>
      <c r="AL13">
        <v>6.7</v>
      </c>
      <c r="AM13">
        <v>6.7</v>
      </c>
      <c r="AN13">
        <v>8</v>
      </c>
      <c r="AO13">
        <v>7</v>
      </c>
      <c r="AP13">
        <v>6</v>
      </c>
      <c r="AQ13">
        <v>7.5</v>
      </c>
      <c r="AR13" t="s">
        <v>26</v>
      </c>
      <c r="AS13">
        <v>8.5</v>
      </c>
      <c r="AU13" t="s">
        <v>26</v>
      </c>
      <c r="AV13">
        <v>10</v>
      </c>
      <c r="AW13" t="s">
        <v>26</v>
      </c>
      <c r="AX13">
        <v>10</v>
      </c>
      <c r="AY13" t="s">
        <v>26</v>
      </c>
      <c r="AZ13">
        <v>10</v>
      </c>
      <c r="BA13" t="s">
        <v>26</v>
      </c>
      <c r="BB13">
        <v>10</v>
      </c>
      <c r="BC13" t="s">
        <v>26</v>
      </c>
      <c r="BD13">
        <v>10</v>
      </c>
      <c r="BE13" t="s">
        <v>26</v>
      </c>
      <c r="BF13">
        <v>10</v>
      </c>
      <c r="BG13" t="s">
        <v>26</v>
      </c>
      <c r="BH13">
        <v>10</v>
      </c>
      <c r="BI13" t="s">
        <v>26</v>
      </c>
      <c r="BJ13">
        <v>10</v>
      </c>
    </row>
    <row r="14" spans="1:62" x14ac:dyDescent="0.35">
      <c r="A14" t="s">
        <v>151</v>
      </c>
      <c r="B14" t="s">
        <v>151</v>
      </c>
      <c r="C14" t="s">
        <v>135</v>
      </c>
      <c r="D14" t="s">
        <v>629</v>
      </c>
      <c r="E14" t="s">
        <v>152</v>
      </c>
      <c r="F14" t="s">
        <v>630</v>
      </c>
      <c r="G14" t="s">
        <v>39</v>
      </c>
      <c r="H14" t="s">
        <v>23</v>
      </c>
      <c r="I14" t="s">
        <v>33</v>
      </c>
      <c r="J14">
        <v>5.9</v>
      </c>
      <c r="L14">
        <v>23</v>
      </c>
      <c r="M14">
        <v>2.4</v>
      </c>
      <c r="N14">
        <v>4.9000000000000004</v>
      </c>
      <c r="P14">
        <v>0</v>
      </c>
      <c r="Q14">
        <v>3.2</v>
      </c>
      <c r="R14">
        <v>2.9</v>
      </c>
      <c r="S14">
        <v>6</v>
      </c>
      <c r="T14">
        <v>6.2</v>
      </c>
      <c r="U14">
        <v>6.8</v>
      </c>
      <c r="V14">
        <v>9.5</v>
      </c>
      <c r="W14">
        <v>8.5</v>
      </c>
      <c r="X14">
        <v>8.8000000000000007</v>
      </c>
      <c r="Y14">
        <v>8.1999999999999993</v>
      </c>
      <c r="Z14" t="s">
        <v>605</v>
      </c>
      <c r="AA14">
        <v>8.4</v>
      </c>
      <c r="AB14">
        <v>7.3</v>
      </c>
      <c r="AC14">
        <v>8.6</v>
      </c>
      <c r="AD14">
        <v>8.6</v>
      </c>
      <c r="AE14">
        <v>9.9</v>
      </c>
      <c r="AF14">
        <v>9.4</v>
      </c>
      <c r="AG14">
        <v>8.5</v>
      </c>
      <c r="AH14">
        <v>8.1999999999999993</v>
      </c>
      <c r="AI14">
        <v>7.1</v>
      </c>
      <c r="AJ14">
        <v>7.1</v>
      </c>
      <c r="AL14">
        <v>8.6999999999999993</v>
      </c>
      <c r="AM14">
        <v>7.3</v>
      </c>
      <c r="AN14">
        <v>6</v>
      </c>
      <c r="AO14">
        <v>7</v>
      </c>
      <c r="AP14">
        <v>6</v>
      </c>
      <c r="AQ14">
        <v>8</v>
      </c>
      <c r="AR14" t="s">
        <v>26</v>
      </c>
      <c r="AS14">
        <v>8.5</v>
      </c>
      <c r="AU14" t="s">
        <v>26</v>
      </c>
      <c r="AV14">
        <v>10</v>
      </c>
      <c r="AW14" t="s">
        <v>26</v>
      </c>
      <c r="AX14">
        <v>10</v>
      </c>
      <c r="AY14" t="s">
        <v>26</v>
      </c>
      <c r="AZ14">
        <v>10</v>
      </c>
      <c r="BA14" t="s">
        <v>26</v>
      </c>
      <c r="BB14">
        <v>10</v>
      </c>
      <c r="BC14" t="s">
        <v>26</v>
      </c>
      <c r="BD14">
        <v>10</v>
      </c>
      <c r="BE14" t="s">
        <v>26</v>
      </c>
      <c r="BF14">
        <v>10</v>
      </c>
      <c r="BG14" t="s">
        <v>26</v>
      </c>
      <c r="BH14">
        <v>10</v>
      </c>
      <c r="BI14" t="s">
        <v>26</v>
      </c>
      <c r="BJ14">
        <v>10</v>
      </c>
    </row>
    <row r="15" spans="1:62" x14ac:dyDescent="0.35">
      <c r="A15" t="s">
        <v>325</v>
      </c>
      <c r="B15" t="s">
        <v>325</v>
      </c>
      <c r="C15" t="s">
        <v>319</v>
      </c>
      <c r="D15" t="s">
        <v>631</v>
      </c>
      <c r="E15" t="s">
        <v>326</v>
      </c>
      <c r="F15" t="s">
        <v>632</v>
      </c>
      <c r="G15" t="s">
        <v>57</v>
      </c>
      <c r="H15" t="s">
        <v>23</v>
      </c>
      <c r="I15" t="s">
        <v>48</v>
      </c>
      <c r="J15">
        <v>5.3</v>
      </c>
      <c r="L15">
        <v>17</v>
      </c>
      <c r="M15">
        <v>2</v>
      </c>
      <c r="N15">
        <v>3.75</v>
      </c>
      <c r="P15">
        <v>0</v>
      </c>
      <c r="Q15">
        <v>0</v>
      </c>
      <c r="R15">
        <v>6</v>
      </c>
      <c r="S15">
        <v>7.1</v>
      </c>
      <c r="T15">
        <v>0</v>
      </c>
      <c r="U15">
        <v>8</v>
      </c>
      <c r="V15">
        <v>7.9</v>
      </c>
      <c r="W15">
        <v>8.3000000000000007</v>
      </c>
      <c r="X15">
        <v>7.6</v>
      </c>
      <c r="Y15">
        <v>8</v>
      </c>
      <c r="AA15">
        <v>6.5</v>
      </c>
      <c r="AB15">
        <v>7.6</v>
      </c>
      <c r="AC15" t="s">
        <v>26</v>
      </c>
      <c r="AD15">
        <v>0</v>
      </c>
      <c r="AE15">
        <v>8.9</v>
      </c>
      <c r="AF15">
        <v>8.8000000000000007</v>
      </c>
      <c r="AG15">
        <v>7.5</v>
      </c>
      <c r="AH15">
        <v>7.5</v>
      </c>
      <c r="AI15">
        <v>7.4</v>
      </c>
      <c r="AJ15">
        <v>6.7</v>
      </c>
      <c r="AK15" t="s">
        <v>608</v>
      </c>
      <c r="AL15">
        <v>8</v>
      </c>
      <c r="AM15">
        <v>6.7</v>
      </c>
      <c r="AN15">
        <v>7</v>
      </c>
      <c r="AO15">
        <v>7</v>
      </c>
      <c r="AP15">
        <v>7</v>
      </c>
      <c r="AQ15">
        <v>6</v>
      </c>
      <c r="AR15">
        <v>9</v>
      </c>
      <c r="AS15">
        <v>8.5</v>
      </c>
      <c r="AT15" t="s">
        <v>608</v>
      </c>
      <c r="AU15">
        <v>10</v>
      </c>
      <c r="AV15">
        <v>10</v>
      </c>
      <c r="AW15">
        <v>9</v>
      </c>
      <c r="AX15">
        <v>10</v>
      </c>
      <c r="AY15">
        <v>10</v>
      </c>
      <c r="AZ15">
        <v>10</v>
      </c>
      <c r="BA15">
        <v>9</v>
      </c>
      <c r="BB15">
        <v>10</v>
      </c>
      <c r="BC15">
        <v>10</v>
      </c>
      <c r="BD15">
        <v>10</v>
      </c>
      <c r="BE15">
        <v>8</v>
      </c>
      <c r="BF15">
        <v>10</v>
      </c>
      <c r="BG15">
        <v>10</v>
      </c>
      <c r="BH15">
        <v>10</v>
      </c>
      <c r="BI15">
        <v>9</v>
      </c>
      <c r="BJ15">
        <v>10</v>
      </c>
    </row>
    <row r="16" spans="1:62" x14ac:dyDescent="0.35">
      <c r="A16" t="s">
        <v>368</v>
      </c>
      <c r="B16" t="s">
        <v>368</v>
      </c>
      <c r="C16" t="s">
        <v>366</v>
      </c>
      <c r="D16" t="s">
        <v>633</v>
      </c>
      <c r="E16" t="s">
        <v>369</v>
      </c>
      <c r="F16" t="s">
        <v>634</v>
      </c>
      <c r="G16" t="s">
        <v>24</v>
      </c>
      <c r="H16" t="s">
        <v>23</v>
      </c>
      <c r="I16" t="s">
        <v>275</v>
      </c>
      <c r="J16">
        <v>6.2</v>
      </c>
      <c r="K16" t="s">
        <v>605</v>
      </c>
      <c r="L16">
        <v>10</v>
      </c>
      <c r="M16">
        <v>3.3</v>
      </c>
      <c r="N16">
        <v>3.35</v>
      </c>
      <c r="O16" t="s">
        <v>605</v>
      </c>
      <c r="P16">
        <v>0</v>
      </c>
      <c r="Q16">
        <v>0</v>
      </c>
      <c r="R16">
        <v>7.1</v>
      </c>
      <c r="S16">
        <v>7.1</v>
      </c>
      <c r="T16">
        <v>6.5</v>
      </c>
      <c r="U16">
        <v>7.1</v>
      </c>
      <c r="V16">
        <v>8.8000000000000007</v>
      </c>
      <c r="W16">
        <v>8.9</v>
      </c>
      <c r="X16">
        <v>9.1999999999999993</v>
      </c>
      <c r="Y16">
        <v>8.6</v>
      </c>
      <c r="Z16" t="s">
        <v>608</v>
      </c>
      <c r="AA16">
        <v>8.4</v>
      </c>
      <c r="AB16">
        <v>8.6</v>
      </c>
      <c r="AC16" t="s">
        <v>26</v>
      </c>
      <c r="AD16">
        <v>0</v>
      </c>
      <c r="AE16">
        <v>9.6</v>
      </c>
      <c r="AF16">
        <v>8.9</v>
      </c>
      <c r="AG16">
        <v>9.3000000000000007</v>
      </c>
      <c r="AH16">
        <v>8.6999999999999993</v>
      </c>
      <c r="AI16">
        <v>6</v>
      </c>
      <c r="AJ16">
        <v>6.4</v>
      </c>
      <c r="AL16">
        <v>4</v>
      </c>
      <c r="AM16">
        <v>5.3</v>
      </c>
      <c r="AN16">
        <v>6</v>
      </c>
      <c r="AO16">
        <v>7</v>
      </c>
      <c r="AP16">
        <v>8</v>
      </c>
      <c r="AQ16">
        <v>7.5</v>
      </c>
      <c r="AR16">
        <v>6.8</v>
      </c>
      <c r="AS16">
        <v>8.3000000000000007</v>
      </c>
      <c r="AU16">
        <v>6</v>
      </c>
      <c r="AV16">
        <v>10</v>
      </c>
      <c r="AW16">
        <v>8</v>
      </c>
      <c r="AX16">
        <v>10</v>
      </c>
      <c r="AY16">
        <v>8</v>
      </c>
      <c r="AZ16">
        <v>10</v>
      </c>
      <c r="BA16">
        <v>8</v>
      </c>
      <c r="BB16">
        <v>10</v>
      </c>
      <c r="BC16">
        <v>8</v>
      </c>
      <c r="BD16">
        <v>10</v>
      </c>
      <c r="BE16">
        <v>8</v>
      </c>
      <c r="BF16">
        <v>10</v>
      </c>
      <c r="BG16">
        <v>8</v>
      </c>
      <c r="BH16">
        <v>10</v>
      </c>
      <c r="BI16">
        <v>8</v>
      </c>
      <c r="BJ16">
        <v>10</v>
      </c>
    </row>
    <row r="17" spans="1:62" x14ac:dyDescent="0.35">
      <c r="A17" t="s">
        <v>233</v>
      </c>
      <c r="B17" t="s">
        <v>233</v>
      </c>
      <c r="C17" t="s">
        <v>223</v>
      </c>
      <c r="D17" t="s">
        <v>635</v>
      </c>
      <c r="E17" t="s">
        <v>234</v>
      </c>
      <c r="F17" t="s">
        <v>636</v>
      </c>
      <c r="G17" t="s">
        <v>39</v>
      </c>
      <c r="H17" t="s">
        <v>23</v>
      </c>
      <c r="I17" t="s">
        <v>25</v>
      </c>
      <c r="J17">
        <v>7.9</v>
      </c>
      <c r="K17" t="s">
        <v>605</v>
      </c>
      <c r="L17">
        <v>8</v>
      </c>
      <c r="M17">
        <v>8.1</v>
      </c>
      <c r="N17">
        <v>5.6</v>
      </c>
      <c r="O17" t="s">
        <v>605</v>
      </c>
      <c r="P17">
        <v>6.9</v>
      </c>
      <c r="Q17">
        <v>4.0999999999999996</v>
      </c>
      <c r="R17">
        <v>9.1999999999999993</v>
      </c>
      <c r="S17">
        <v>7.5</v>
      </c>
      <c r="T17">
        <v>10</v>
      </c>
      <c r="U17">
        <v>5.9</v>
      </c>
      <c r="V17">
        <v>9.3000000000000007</v>
      </c>
      <c r="W17">
        <v>8.3000000000000007</v>
      </c>
      <c r="X17">
        <v>8.3000000000000007</v>
      </c>
      <c r="Y17">
        <v>8.4</v>
      </c>
      <c r="AA17">
        <v>7.5</v>
      </c>
      <c r="AB17">
        <v>7.4</v>
      </c>
      <c r="AC17" t="s">
        <v>26</v>
      </c>
      <c r="AD17">
        <v>0</v>
      </c>
      <c r="AE17">
        <v>9.4</v>
      </c>
      <c r="AF17">
        <v>9.5</v>
      </c>
      <c r="AG17">
        <v>8</v>
      </c>
      <c r="AH17">
        <v>8.5</v>
      </c>
      <c r="AI17">
        <v>6.9</v>
      </c>
      <c r="AJ17">
        <v>6.7</v>
      </c>
      <c r="AL17">
        <v>6.7</v>
      </c>
      <c r="AM17">
        <v>6.7</v>
      </c>
      <c r="AN17">
        <v>7</v>
      </c>
      <c r="AO17">
        <v>7</v>
      </c>
      <c r="AP17">
        <v>7</v>
      </c>
      <c r="AQ17">
        <v>7.5</v>
      </c>
      <c r="AR17">
        <v>8.5</v>
      </c>
      <c r="AS17">
        <v>8.5</v>
      </c>
      <c r="AT17" t="s">
        <v>605</v>
      </c>
      <c r="AU17">
        <v>10</v>
      </c>
      <c r="AV17">
        <v>10</v>
      </c>
      <c r="AW17">
        <v>10</v>
      </c>
      <c r="AX17">
        <v>10</v>
      </c>
      <c r="AY17">
        <v>10</v>
      </c>
      <c r="AZ17">
        <v>10</v>
      </c>
      <c r="BA17">
        <v>10</v>
      </c>
      <c r="BB17">
        <v>10</v>
      </c>
      <c r="BC17">
        <v>10</v>
      </c>
      <c r="BD17">
        <v>10</v>
      </c>
      <c r="BE17">
        <v>10</v>
      </c>
      <c r="BF17">
        <v>10</v>
      </c>
      <c r="BG17">
        <v>10</v>
      </c>
      <c r="BH17">
        <v>10</v>
      </c>
      <c r="BI17">
        <v>10</v>
      </c>
      <c r="BJ17">
        <v>10</v>
      </c>
    </row>
    <row r="18" spans="1:62" x14ac:dyDescent="0.35">
      <c r="A18" t="s">
        <v>313</v>
      </c>
      <c r="B18" t="s">
        <v>313</v>
      </c>
      <c r="C18" t="s">
        <v>223</v>
      </c>
      <c r="D18" t="s">
        <v>637</v>
      </c>
      <c r="E18" t="s">
        <v>315</v>
      </c>
      <c r="F18" t="s">
        <v>638</v>
      </c>
      <c r="G18" t="s">
        <v>24</v>
      </c>
      <c r="H18" t="s">
        <v>23</v>
      </c>
      <c r="I18" t="s">
        <v>282</v>
      </c>
      <c r="J18">
        <v>5.7</v>
      </c>
      <c r="L18">
        <v>32</v>
      </c>
      <c r="M18">
        <v>2.7</v>
      </c>
      <c r="N18">
        <v>5.6</v>
      </c>
      <c r="P18">
        <v>0</v>
      </c>
      <c r="Q18">
        <v>4.0999999999999996</v>
      </c>
      <c r="R18">
        <v>5.0999999999999996</v>
      </c>
      <c r="S18">
        <v>7.5</v>
      </c>
      <c r="T18">
        <v>5.9</v>
      </c>
      <c r="U18">
        <v>5.9</v>
      </c>
      <c r="V18">
        <v>7.7</v>
      </c>
      <c r="W18">
        <v>8.3000000000000007</v>
      </c>
      <c r="X18">
        <v>8.9</v>
      </c>
      <c r="Y18">
        <v>8.4</v>
      </c>
      <c r="AA18">
        <v>6.4</v>
      </c>
      <c r="AB18">
        <v>7.4</v>
      </c>
      <c r="AC18" t="s">
        <v>26</v>
      </c>
      <c r="AD18">
        <v>0</v>
      </c>
      <c r="AE18">
        <v>6.6</v>
      </c>
      <c r="AF18">
        <v>9.5</v>
      </c>
      <c r="AG18">
        <v>10</v>
      </c>
      <c r="AH18">
        <v>8.5</v>
      </c>
      <c r="AI18">
        <v>5.4</v>
      </c>
      <c r="AJ18">
        <v>6.7</v>
      </c>
      <c r="AL18">
        <v>4</v>
      </c>
      <c r="AM18">
        <v>6.7</v>
      </c>
      <c r="AN18">
        <v>7</v>
      </c>
      <c r="AO18">
        <v>7</v>
      </c>
      <c r="AP18">
        <v>6</v>
      </c>
      <c r="AQ18">
        <v>7.5</v>
      </c>
      <c r="AR18">
        <v>9</v>
      </c>
      <c r="AS18">
        <v>8.5</v>
      </c>
      <c r="AT18" t="s">
        <v>605</v>
      </c>
      <c r="AU18">
        <v>9</v>
      </c>
      <c r="AV18">
        <v>10</v>
      </c>
      <c r="AW18">
        <v>10</v>
      </c>
      <c r="AX18">
        <v>10</v>
      </c>
      <c r="AY18">
        <v>10</v>
      </c>
      <c r="AZ18">
        <v>10</v>
      </c>
      <c r="BA18">
        <v>10</v>
      </c>
      <c r="BB18">
        <v>10</v>
      </c>
      <c r="BC18">
        <v>9</v>
      </c>
      <c r="BD18">
        <v>10</v>
      </c>
      <c r="BE18">
        <v>9</v>
      </c>
      <c r="BF18">
        <v>10</v>
      </c>
      <c r="BG18">
        <v>9</v>
      </c>
      <c r="BH18">
        <v>10</v>
      </c>
      <c r="BI18">
        <v>9</v>
      </c>
      <c r="BJ18">
        <v>10</v>
      </c>
    </row>
    <row r="19" spans="1:62" x14ac:dyDescent="0.35">
      <c r="A19" t="s">
        <v>313</v>
      </c>
      <c r="B19" t="s">
        <v>313</v>
      </c>
      <c r="C19" t="s">
        <v>366</v>
      </c>
      <c r="D19" t="s">
        <v>637</v>
      </c>
      <c r="E19" t="s">
        <v>315</v>
      </c>
      <c r="F19" t="s">
        <v>638</v>
      </c>
      <c r="G19" t="s">
        <v>24</v>
      </c>
      <c r="H19" t="s">
        <v>23</v>
      </c>
      <c r="I19" t="s">
        <v>282</v>
      </c>
      <c r="J19">
        <v>5.3</v>
      </c>
      <c r="L19">
        <v>13</v>
      </c>
      <c r="M19">
        <v>2.1</v>
      </c>
      <c r="N19">
        <v>3.35</v>
      </c>
      <c r="P19">
        <v>0</v>
      </c>
      <c r="Q19">
        <v>0</v>
      </c>
      <c r="R19">
        <v>0</v>
      </c>
      <c r="S19">
        <v>7.1</v>
      </c>
      <c r="T19">
        <v>8</v>
      </c>
      <c r="U19">
        <v>7.1</v>
      </c>
      <c r="V19">
        <v>8.6999999999999993</v>
      </c>
      <c r="W19">
        <v>8.9</v>
      </c>
      <c r="X19">
        <v>8.6</v>
      </c>
      <c r="Y19">
        <v>8.6</v>
      </c>
      <c r="Z19" t="s">
        <v>605</v>
      </c>
      <c r="AA19">
        <v>8.6</v>
      </c>
      <c r="AB19">
        <v>8.6</v>
      </c>
      <c r="AC19" t="s">
        <v>26</v>
      </c>
      <c r="AD19">
        <v>0</v>
      </c>
      <c r="AE19">
        <v>8.6999999999999993</v>
      </c>
      <c r="AF19">
        <v>8.9</v>
      </c>
      <c r="AG19">
        <v>8.5</v>
      </c>
      <c r="AH19">
        <v>8.6999999999999993</v>
      </c>
      <c r="AI19">
        <v>5.4</v>
      </c>
      <c r="AJ19">
        <v>6.4</v>
      </c>
      <c r="AL19">
        <v>4</v>
      </c>
      <c r="AM19">
        <v>5.3</v>
      </c>
      <c r="AN19">
        <v>7</v>
      </c>
      <c r="AO19">
        <v>7</v>
      </c>
      <c r="AP19">
        <v>6</v>
      </c>
      <c r="AQ19">
        <v>7.5</v>
      </c>
      <c r="AR19">
        <v>9</v>
      </c>
      <c r="AS19">
        <v>8.3000000000000007</v>
      </c>
      <c r="AT19" t="s">
        <v>622</v>
      </c>
      <c r="AU19">
        <v>9</v>
      </c>
      <c r="AV19">
        <v>10</v>
      </c>
      <c r="AW19">
        <v>10</v>
      </c>
      <c r="AX19">
        <v>10</v>
      </c>
      <c r="AY19">
        <v>10</v>
      </c>
      <c r="AZ19">
        <v>10</v>
      </c>
      <c r="BA19">
        <v>10</v>
      </c>
      <c r="BB19">
        <v>10</v>
      </c>
      <c r="BC19">
        <v>9</v>
      </c>
      <c r="BD19">
        <v>10</v>
      </c>
      <c r="BE19">
        <v>9</v>
      </c>
      <c r="BF19">
        <v>10</v>
      </c>
      <c r="BG19">
        <v>9</v>
      </c>
      <c r="BH19">
        <v>10</v>
      </c>
      <c r="BI19">
        <v>9</v>
      </c>
      <c r="BJ19">
        <v>10</v>
      </c>
    </row>
    <row r="20" spans="1:62" x14ac:dyDescent="0.35">
      <c r="A20" t="s">
        <v>370</v>
      </c>
      <c r="B20" t="s">
        <v>639</v>
      </c>
      <c r="C20" t="s">
        <v>366</v>
      </c>
      <c r="D20" t="s">
        <v>640</v>
      </c>
      <c r="E20" t="s">
        <v>641</v>
      </c>
      <c r="F20" t="s">
        <v>642</v>
      </c>
      <c r="G20" t="s">
        <v>24</v>
      </c>
      <c r="H20" t="s">
        <v>23</v>
      </c>
      <c r="I20" t="s">
        <v>372</v>
      </c>
      <c r="J20">
        <v>6.1</v>
      </c>
      <c r="K20" t="s">
        <v>605</v>
      </c>
      <c r="L20">
        <v>9</v>
      </c>
      <c r="M20">
        <v>3.4</v>
      </c>
      <c r="N20">
        <v>3.35</v>
      </c>
      <c r="O20" t="s">
        <v>605</v>
      </c>
      <c r="P20">
        <v>0</v>
      </c>
      <c r="Q20">
        <v>0</v>
      </c>
      <c r="R20">
        <v>7.5</v>
      </c>
      <c r="S20">
        <v>7.1</v>
      </c>
      <c r="T20">
        <v>10</v>
      </c>
      <c r="U20">
        <v>7.1</v>
      </c>
      <c r="V20">
        <v>9.1</v>
      </c>
      <c r="W20">
        <v>8.9</v>
      </c>
      <c r="X20">
        <v>8.9</v>
      </c>
      <c r="Y20">
        <v>8.6</v>
      </c>
      <c r="Z20" t="s">
        <v>605</v>
      </c>
      <c r="AA20">
        <v>8.9</v>
      </c>
      <c r="AB20">
        <v>8.6</v>
      </c>
      <c r="AC20" t="s">
        <v>26</v>
      </c>
      <c r="AD20">
        <v>0</v>
      </c>
      <c r="AE20">
        <v>9</v>
      </c>
      <c r="AF20">
        <v>8.9</v>
      </c>
      <c r="AG20">
        <v>8.8000000000000007</v>
      </c>
      <c r="AH20">
        <v>8.6999999999999993</v>
      </c>
      <c r="AI20">
        <v>6</v>
      </c>
      <c r="AJ20">
        <v>6.4</v>
      </c>
      <c r="AK20" t="s">
        <v>605</v>
      </c>
      <c r="AL20">
        <v>2.7</v>
      </c>
      <c r="AM20">
        <v>5.3</v>
      </c>
      <c r="AN20" t="s">
        <v>26</v>
      </c>
      <c r="AO20">
        <v>7</v>
      </c>
      <c r="AP20">
        <v>9</v>
      </c>
      <c r="AQ20">
        <v>7.5</v>
      </c>
      <c r="AR20" t="s">
        <v>26</v>
      </c>
      <c r="AS20">
        <v>8.3000000000000007</v>
      </c>
      <c r="AU20" t="s">
        <v>26</v>
      </c>
      <c r="AV20">
        <v>10</v>
      </c>
      <c r="AW20" t="s">
        <v>26</v>
      </c>
      <c r="AX20">
        <v>10</v>
      </c>
      <c r="AY20" t="s">
        <v>26</v>
      </c>
      <c r="AZ20">
        <v>10</v>
      </c>
      <c r="BA20" t="s">
        <v>26</v>
      </c>
      <c r="BB20">
        <v>10</v>
      </c>
      <c r="BC20" t="s">
        <v>26</v>
      </c>
      <c r="BD20">
        <v>10</v>
      </c>
      <c r="BE20" t="s">
        <v>26</v>
      </c>
      <c r="BF20">
        <v>10</v>
      </c>
      <c r="BG20" t="s">
        <v>26</v>
      </c>
      <c r="BH20">
        <v>10</v>
      </c>
      <c r="BI20" t="s">
        <v>26</v>
      </c>
      <c r="BJ20">
        <v>10</v>
      </c>
    </row>
    <row r="21" spans="1:62" x14ac:dyDescent="0.35">
      <c r="A21" t="s">
        <v>235</v>
      </c>
      <c r="B21" t="s">
        <v>235</v>
      </c>
      <c r="C21" t="s">
        <v>223</v>
      </c>
      <c r="D21" t="s">
        <v>643</v>
      </c>
      <c r="E21" t="s">
        <v>236</v>
      </c>
      <c r="F21" t="s">
        <v>644</v>
      </c>
      <c r="G21" t="s">
        <v>24</v>
      </c>
      <c r="H21" t="s">
        <v>23</v>
      </c>
      <c r="I21" t="s">
        <v>33</v>
      </c>
      <c r="J21">
        <v>7</v>
      </c>
      <c r="L21">
        <v>18</v>
      </c>
      <c r="M21">
        <v>7.5</v>
      </c>
      <c r="N21">
        <v>5.6</v>
      </c>
      <c r="O21" t="s">
        <v>605</v>
      </c>
      <c r="P21">
        <v>7.2</v>
      </c>
      <c r="Q21">
        <v>4.0999999999999996</v>
      </c>
      <c r="R21">
        <v>7.8</v>
      </c>
      <c r="S21">
        <v>7.5</v>
      </c>
      <c r="T21">
        <v>7.5</v>
      </c>
      <c r="U21">
        <v>5.9</v>
      </c>
      <c r="V21">
        <v>8.3000000000000007</v>
      </c>
      <c r="W21">
        <v>8.3000000000000007</v>
      </c>
      <c r="X21">
        <v>6.8</v>
      </c>
      <c r="Y21">
        <v>8.4</v>
      </c>
      <c r="AA21">
        <v>7.2</v>
      </c>
      <c r="AB21">
        <v>7.4</v>
      </c>
      <c r="AC21" t="s">
        <v>26</v>
      </c>
      <c r="AD21">
        <v>0</v>
      </c>
      <c r="AE21">
        <v>7.6</v>
      </c>
      <c r="AF21">
        <v>9.5</v>
      </c>
      <c r="AG21">
        <v>6</v>
      </c>
      <c r="AH21">
        <v>8.5</v>
      </c>
      <c r="AI21">
        <v>6.5</v>
      </c>
      <c r="AJ21">
        <v>6.7</v>
      </c>
      <c r="AL21" t="s">
        <v>26</v>
      </c>
      <c r="AM21">
        <v>6.7</v>
      </c>
      <c r="AN21">
        <v>6</v>
      </c>
      <c r="AO21">
        <v>7</v>
      </c>
      <c r="AP21" t="s">
        <v>26</v>
      </c>
      <c r="AQ21">
        <v>7.5</v>
      </c>
      <c r="AR21" t="s">
        <v>26</v>
      </c>
      <c r="AS21">
        <v>8.5</v>
      </c>
      <c r="AU21" t="s">
        <v>26</v>
      </c>
      <c r="AV21">
        <v>10</v>
      </c>
      <c r="AW21" t="s">
        <v>26</v>
      </c>
      <c r="AX21">
        <v>10</v>
      </c>
      <c r="AY21" t="s">
        <v>26</v>
      </c>
      <c r="AZ21">
        <v>10</v>
      </c>
      <c r="BA21" t="s">
        <v>26</v>
      </c>
      <c r="BB21">
        <v>10</v>
      </c>
      <c r="BC21" t="s">
        <v>26</v>
      </c>
      <c r="BD21">
        <v>10</v>
      </c>
      <c r="BE21" t="s">
        <v>26</v>
      </c>
      <c r="BF21">
        <v>10</v>
      </c>
      <c r="BG21" t="s">
        <v>26</v>
      </c>
      <c r="BH21">
        <v>10</v>
      </c>
      <c r="BI21" t="s">
        <v>26</v>
      </c>
      <c r="BJ21">
        <v>10</v>
      </c>
    </row>
    <row r="22" spans="1:62" x14ac:dyDescent="0.35">
      <c r="A22" t="s">
        <v>153</v>
      </c>
      <c r="B22" t="s">
        <v>153</v>
      </c>
      <c r="C22" t="s">
        <v>135</v>
      </c>
      <c r="D22" t="s">
        <v>645</v>
      </c>
      <c r="E22" t="s">
        <v>154</v>
      </c>
      <c r="F22" t="s">
        <v>646</v>
      </c>
      <c r="G22" t="s">
        <v>39</v>
      </c>
      <c r="H22" t="s">
        <v>23</v>
      </c>
      <c r="I22" t="s">
        <v>42</v>
      </c>
      <c r="J22">
        <v>7.4</v>
      </c>
      <c r="L22">
        <v>11</v>
      </c>
      <c r="M22">
        <v>6.5</v>
      </c>
      <c r="N22">
        <v>4.9000000000000004</v>
      </c>
      <c r="P22">
        <v>4.5</v>
      </c>
      <c r="Q22">
        <v>3.2</v>
      </c>
      <c r="R22">
        <v>9</v>
      </c>
      <c r="S22">
        <v>6</v>
      </c>
      <c r="T22">
        <v>8.5</v>
      </c>
      <c r="U22">
        <v>6.8</v>
      </c>
      <c r="V22">
        <v>9.3000000000000007</v>
      </c>
      <c r="W22">
        <v>8.5</v>
      </c>
      <c r="X22">
        <v>9</v>
      </c>
      <c r="Y22">
        <v>8.1999999999999993</v>
      </c>
      <c r="Z22" t="s">
        <v>605</v>
      </c>
      <c r="AA22">
        <v>9.1999999999999993</v>
      </c>
      <c r="AB22">
        <v>7.3</v>
      </c>
      <c r="AC22">
        <v>9</v>
      </c>
      <c r="AD22">
        <v>8.6</v>
      </c>
      <c r="AE22">
        <v>9.9</v>
      </c>
      <c r="AF22">
        <v>9.4</v>
      </c>
      <c r="AG22">
        <v>8.5</v>
      </c>
      <c r="AH22">
        <v>8.1999999999999993</v>
      </c>
      <c r="AI22">
        <v>6.2</v>
      </c>
      <c r="AJ22">
        <v>7.1</v>
      </c>
      <c r="AL22">
        <v>4</v>
      </c>
      <c r="AM22">
        <v>7.3</v>
      </c>
      <c r="AN22">
        <v>7</v>
      </c>
      <c r="AO22">
        <v>7</v>
      </c>
      <c r="AP22">
        <v>8</v>
      </c>
      <c r="AQ22">
        <v>8</v>
      </c>
      <c r="AR22">
        <v>7.9</v>
      </c>
      <c r="AS22">
        <v>8.5</v>
      </c>
      <c r="AU22">
        <v>10</v>
      </c>
      <c r="AV22">
        <v>10</v>
      </c>
      <c r="AW22">
        <v>10</v>
      </c>
      <c r="AX22">
        <v>10</v>
      </c>
      <c r="AY22">
        <v>10</v>
      </c>
      <c r="AZ22">
        <v>10</v>
      </c>
      <c r="BA22">
        <v>8</v>
      </c>
      <c r="BB22">
        <v>10</v>
      </c>
      <c r="BC22">
        <v>10</v>
      </c>
      <c r="BD22">
        <v>10</v>
      </c>
      <c r="BE22">
        <v>8</v>
      </c>
      <c r="BF22">
        <v>10</v>
      </c>
      <c r="BG22">
        <v>8</v>
      </c>
      <c r="BH22">
        <v>10</v>
      </c>
      <c r="BI22">
        <v>10</v>
      </c>
      <c r="BJ22">
        <v>10</v>
      </c>
    </row>
    <row r="23" spans="1:62" x14ac:dyDescent="0.35">
      <c r="A23" t="s">
        <v>327</v>
      </c>
      <c r="B23" t="s">
        <v>327</v>
      </c>
      <c r="C23" t="s">
        <v>319</v>
      </c>
      <c r="D23" t="s">
        <v>647</v>
      </c>
      <c r="E23" t="s">
        <v>328</v>
      </c>
      <c r="F23" t="s">
        <v>648</v>
      </c>
      <c r="G23" t="s">
        <v>57</v>
      </c>
      <c r="H23" t="s">
        <v>649</v>
      </c>
      <c r="I23" t="s">
        <v>48</v>
      </c>
      <c r="J23">
        <v>7.2</v>
      </c>
      <c r="K23" t="s">
        <v>608</v>
      </c>
      <c r="L23">
        <v>5</v>
      </c>
      <c r="M23">
        <v>7.2</v>
      </c>
      <c r="N23">
        <v>3.75</v>
      </c>
      <c r="O23" t="s">
        <v>608</v>
      </c>
      <c r="P23">
        <v>6</v>
      </c>
      <c r="Q23">
        <v>0</v>
      </c>
      <c r="R23">
        <v>7.5</v>
      </c>
      <c r="S23">
        <v>7.1</v>
      </c>
      <c r="T23">
        <v>10</v>
      </c>
      <c r="U23">
        <v>8</v>
      </c>
      <c r="V23">
        <v>8.5</v>
      </c>
      <c r="W23">
        <v>8.3000000000000007</v>
      </c>
      <c r="X23">
        <v>7.5</v>
      </c>
      <c r="Y23">
        <v>8</v>
      </c>
      <c r="AA23">
        <v>8</v>
      </c>
      <c r="AB23">
        <v>7.6</v>
      </c>
      <c r="AC23" t="s">
        <v>26</v>
      </c>
      <c r="AD23">
        <v>0</v>
      </c>
      <c r="AE23">
        <v>8.1999999999999993</v>
      </c>
      <c r="AF23">
        <v>8.8000000000000007</v>
      </c>
      <c r="AG23">
        <v>7</v>
      </c>
      <c r="AH23">
        <v>7.5</v>
      </c>
      <c r="AI23">
        <v>6.8</v>
      </c>
      <c r="AJ23">
        <v>6.7</v>
      </c>
      <c r="AK23" t="s">
        <v>605</v>
      </c>
      <c r="AL23">
        <v>8</v>
      </c>
      <c r="AM23">
        <v>6.7</v>
      </c>
      <c r="AN23">
        <v>10</v>
      </c>
      <c r="AO23">
        <v>7</v>
      </c>
      <c r="AP23">
        <v>4</v>
      </c>
      <c r="AQ23">
        <v>6</v>
      </c>
      <c r="AR23" t="s">
        <v>26</v>
      </c>
      <c r="AS23">
        <v>8.5</v>
      </c>
      <c r="AU23" t="s">
        <v>26</v>
      </c>
      <c r="AV23">
        <v>10</v>
      </c>
      <c r="AW23" t="s">
        <v>26</v>
      </c>
      <c r="AX23">
        <v>10</v>
      </c>
      <c r="AY23" t="s">
        <v>26</v>
      </c>
      <c r="AZ23">
        <v>10</v>
      </c>
      <c r="BA23" t="s">
        <v>26</v>
      </c>
      <c r="BB23">
        <v>10</v>
      </c>
      <c r="BC23" t="s">
        <v>26</v>
      </c>
      <c r="BD23">
        <v>10</v>
      </c>
      <c r="BE23" t="s">
        <v>26</v>
      </c>
      <c r="BF23">
        <v>10</v>
      </c>
      <c r="BG23" t="s">
        <v>26</v>
      </c>
      <c r="BH23">
        <v>10</v>
      </c>
      <c r="BI23" t="s">
        <v>26</v>
      </c>
      <c r="BJ23">
        <v>10</v>
      </c>
    </row>
    <row r="24" spans="1:62" x14ac:dyDescent="0.35">
      <c r="A24" t="s">
        <v>27</v>
      </c>
      <c r="B24" t="s">
        <v>650</v>
      </c>
      <c r="C24" t="s">
        <v>21</v>
      </c>
      <c r="D24" t="s">
        <v>651</v>
      </c>
      <c r="E24" t="s">
        <v>28</v>
      </c>
      <c r="F24" t="s">
        <v>652</v>
      </c>
      <c r="G24" t="s">
        <v>24</v>
      </c>
      <c r="H24" t="s">
        <v>29</v>
      </c>
      <c r="I24" t="s">
        <v>30</v>
      </c>
      <c r="J24">
        <v>5.2</v>
      </c>
      <c r="L24">
        <v>28</v>
      </c>
      <c r="M24">
        <v>2.8</v>
      </c>
      <c r="N24">
        <v>3.6</v>
      </c>
      <c r="P24">
        <v>1</v>
      </c>
      <c r="Q24">
        <v>1</v>
      </c>
      <c r="R24">
        <v>6.6</v>
      </c>
      <c r="S24">
        <v>7.1</v>
      </c>
      <c r="T24">
        <v>0</v>
      </c>
      <c r="U24">
        <v>6.3</v>
      </c>
      <c r="V24">
        <v>9.1999999999999993</v>
      </c>
      <c r="W24">
        <v>8.9</v>
      </c>
      <c r="X24">
        <v>7.7</v>
      </c>
      <c r="Y24">
        <v>7.8</v>
      </c>
      <c r="AA24">
        <v>7.1</v>
      </c>
      <c r="AB24">
        <v>7.6</v>
      </c>
      <c r="AC24">
        <v>9.1</v>
      </c>
      <c r="AD24">
        <v>7.5</v>
      </c>
      <c r="AE24">
        <v>7.1</v>
      </c>
      <c r="AF24">
        <v>7.4</v>
      </c>
      <c r="AG24">
        <v>7.3</v>
      </c>
      <c r="AH24">
        <v>8.6999999999999993</v>
      </c>
      <c r="AI24">
        <v>5.2</v>
      </c>
      <c r="AJ24">
        <v>7.1</v>
      </c>
      <c r="AL24">
        <v>6</v>
      </c>
      <c r="AM24">
        <v>6.7</v>
      </c>
      <c r="AN24">
        <v>6</v>
      </c>
      <c r="AO24">
        <v>6</v>
      </c>
      <c r="AP24">
        <v>4</v>
      </c>
      <c r="AQ24">
        <v>7.5</v>
      </c>
      <c r="AR24" t="s">
        <v>26</v>
      </c>
      <c r="AS24">
        <v>8.3000000000000007</v>
      </c>
      <c r="AU24" t="s">
        <v>26</v>
      </c>
      <c r="AV24">
        <v>10</v>
      </c>
      <c r="AW24" t="s">
        <v>26</v>
      </c>
      <c r="AX24">
        <v>10</v>
      </c>
      <c r="AY24" t="s">
        <v>26</v>
      </c>
      <c r="AZ24">
        <v>10</v>
      </c>
      <c r="BA24" t="s">
        <v>26</v>
      </c>
      <c r="BB24">
        <v>10</v>
      </c>
      <c r="BC24" t="s">
        <v>26</v>
      </c>
      <c r="BD24">
        <v>10</v>
      </c>
      <c r="BE24" t="s">
        <v>26</v>
      </c>
      <c r="BF24">
        <v>10</v>
      </c>
      <c r="BG24" t="s">
        <v>26</v>
      </c>
      <c r="BH24">
        <v>10</v>
      </c>
      <c r="BI24" t="s">
        <v>26</v>
      </c>
      <c r="BJ24">
        <v>10</v>
      </c>
    </row>
    <row r="25" spans="1:62" x14ac:dyDescent="0.35">
      <c r="A25" t="s">
        <v>31</v>
      </c>
      <c r="B25" t="s">
        <v>31</v>
      </c>
      <c r="C25" t="s">
        <v>21</v>
      </c>
      <c r="D25" t="s">
        <v>653</v>
      </c>
      <c r="E25" t="s">
        <v>32</v>
      </c>
      <c r="F25" t="s">
        <v>654</v>
      </c>
      <c r="G25" t="s">
        <v>24</v>
      </c>
      <c r="H25" t="s">
        <v>23</v>
      </c>
      <c r="I25" t="s">
        <v>33</v>
      </c>
      <c r="J25">
        <v>5.9</v>
      </c>
      <c r="L25">
        <v>16</v>
      </c>
      <c r="M25">
        <v>3</v>
      </c>
      <c r="N25">
        <v>3.6</v>
      </c>
      <c r="P25">
        <v>1</v>
      </c>
      <c r="Q25">
        <v>1</v>
      </c>
      <c r="R25">
        <v>7.8</v>
      </c>
      <c r="S25">
        <v>7.1</v>
      </c>
      <c r="T25">
        <v>0</v>
      </c>
      <c r="U25">
        <v>6.3</v>
      </c>
      <c r="V25">
        <v>9.1999999999999993</v>
      </c>
      <c r="W25">
        <v>8.9</v>
      </c>
      <c r="X25">
        <v>7.8</v>
      </c>
      <c r="Y25">
        <v>7.8</v>
      </c>
      <c r="AA25">
        <v>5.5</v>
      </c>
      <c r="AB25">
        <v>7.6</v>
      </c>
      <c r="AC25">
        <v>8.1</v>
      </c>
      <c r="AD25">
        <v>7.5</v>
      </c>
      <c r="AE25">
        <v>6.8</v>
      </c>
      <c r="AF25">
        <v>7.4</v>
      </c>
      <c r="AG25">
        <v>8.6999999999999993</v>
      </c>
      <c r="AH25">
        <v>8.6999999999999993</v>
      </c>
      <c r="AI25">
        <v>7.9</v>
      </c>
      <c r="AJ25">
        <v>7.1</v>
      </c>
      <c r="AK25" t="s">
        <v>602</v>
      </c>
      <c r="AL25">
        <v>9.3000000000000007</v>
      </c>
      <c r="AM25">
        <v>6.7</v>
      </c>
      <c r="AN25" t="s">
        <v>26</v>
      </c>
      <c r="AO25">
        <v>6</v>
      </c>
      <c r="AP25" t="s">
        <v>26</v>
      </c>
      <c r="AQ25">
        <v>7.5</v>
      </c>
      <c r="AR25">
        <v>7.9</v>
      </c>
      <c r="AS25">
        <v>8.3000000000000007</v>
      </c>
      <c r="AU25">
        <v>10</v>
      </c>
      <c r="AV25">
        <v>10</v>
      </c>
      <c r="AW25">
        <v>10</v>
      </c>
      <c r="AX25">
        <v>10</v>
      </c>
      <c r="AY25">
        <v>10</v>
      </c>
      <c r="AZ25">
        <v>10</v>
      </c>
      <c r="BA25">
        <v>8</v>
      </c>
      <c r="BB25">
        <v>10</v>
      </c>
      <c r="BC25">
        <v>10</v>
      </c>
      <c r="BD25">
        <v>10</v>
      </c>
      <c r="BE25">
        <v>8</v>
      </c>
      <c r="BF25">
        <v>10</v>
      </c>
      <c r="BG25">
        <v>8</v>
      </c>
      <c r="BH25">
        <v>10</v>
      </c>
      <c r="BI25">
        <v>10</v>
      </c>
      <c r="BJ25">
        <v>10</v>
      </c>
    </row>
    <row r="26" spans="1:62" x14ac:dyDescent="0.35">
      <c r="A26" t="s">
        <v>373</v>
      </c>
      <c r="B26" t="s">
        <v>373</v>
      </c>
      <c r="C26" t="s">
        <v>366</v>
      </c>
      <c r="D26" t="s">
        <v>655</v>
      </c>
      <c r="E26" t="s">
        <v>374</v>
      </c>
      <c r="F26" t="s">
        <v>656</v>
      </c>
      <c r="G26" t="s">
        <v>24</v>
      </c>
      <c r="H26" t="s">
        <v>23</v>
      </c>
      <c r="I26" t="s">
        <v>352</v>
      </c>
      <c r="J26">
        <v>5.8</v>
      </c>
      <c r="L26">
        <v>11</v>
      </c>
      <c r="M26">
        <v>3.2</v>
      </c>
      <c r="N26">
        <v>3.35</v>
      </c>
      <c r="P26">
        <v>0</v>
      </c>
      <c r="Q26">
        <v>0</v>
      </c>
      <c r="R26">
        <v>8.6999999999999993</v>
      </c>
      <c r="S26">
        <v>7.1</v>
      </c>
      <c r="T26">
        <v>3.8</v>
      </c>
      <c r="U26">
        <v>7.1</v>
      </c>
      <c r="V26">
        <v>8.9</v>
      </c>
      <c r="W26">
        <v>8.9</v>
      </c>
      <c r="X26">
        <v>8.6</v>
      </c>
      <c r="Y26">
        <v>8.6</v>
      </c>
      <c r="Z26" t="s">
        <v>605</v>
      </c>
      <c r="AA26">
        <v>8.8000000000000007</v>
      </c>
      <c r="AB26">
        <v>8.6</v>
      </c>
      <c r="AC26" t="s">
        <v>26</v>
      </c>
      <c r="AD26">
        <v>0</v>
      </c>
      <c r="AE26">
        <v>8.5</v>
      </c>
      <c r="AF26">
        <v>8.9</v>
      </c>
      <c r="AG26">
        <v>8.6</v>
      </c>
      <c r="AH26">
        <v>8.6999999999999993</v>
      </c>
      <c r="AI26">
        <v>5.2</v>
      </c>
      <c r="AJ26">
        <v>6.4</v>
      </c>
      <c r="AL26">
        <v>4</v>
      </c>
      <c r="AM26">
        <v>5.3</v>
      </c>
      <c r="AN26">
        <v>4</v>
      </c>
      <c r="AO26">
        <v>7</v>
      </c>
      <c r="AP26">
        <v>7</v>
      </c>
      <c r="AQ26">
        <v>7.5</v>
      </c>
      <c r="AR26">
        <v>8.1</v>
      </c>
      <c r="AS26">
        <v>8.3000000000000007</v>
      </c>
      <c r="AT26" t="s">
        <v>605</v>
      </c>
      <c r="AU26">
        <v>10</v>
      </c>
      <c r="AV26">
        <v>10</v>
      </c>
      <c r="AW26">
        <v>10</v>
      </c>
      <c r="AX26">
        <v>10</v>
      </c>
      <c r="AY26">
        <v>10</v>
      </c>
      <c r="AZ26">
        <v>10</v>
      </c>
      <c r="BA26">
        <v>10</v>
      </c>
      <c r="BB26">
        <v>10</v>
      </c>
      <c r="BC26">
        <v>8</v>
      </c>
      <c r="BD26">
        <v>10</v>
      </c>
      <c r="BE26">
        <v>10</v>
      </c>
      <c r="BF26">
        <v>10</v>
      </c>
      <c r="BG26">
        <v>8</v>
      </c>
      <c r="BH26">
        <v>10</v>
      </c>
      <c r="BI26">
        <v>10</v>
      </c>
      <c r="BJ26">
        <v>10</v>
      </c>
    </row>
    <row r="27" spans="1:62" x14ac:dyDescent="0.35">
      <c r="A27" t="s">
        <v>375</v>
      </c>
      <c r="B27" t="s">
        <v>657</v>
      </c>
      <c r="C27" t="s">
        <v>366</v>
      </c>
      <c r="D27" t="s">
        <v>658</v>
      </c>
      <c r="E27" t="s">
        <v>376</v>
      </c>
      <c r="F27" t="s">
        <v>659</v>
      </c>
      <c r="G27" t="s">
        <v>24</v>
      </c>
      <c r="H27" t="s">
        <v>23</v>
      </c>
      <c r="I27" t="s">
        <v>228</v>
      </c>
      <c r="J27">
        <v>7.2</v>
      </c>
      <c r="K27" t="s">
        <v>605</v>
      </c>
      <c r="L27">
        <v>6</v>
      </c>
      <c r="M27">
        <v>6</v>
      </c>
      <c r="N27">
        <v>3.35</v>
      </c>
      <c r="O27" t="s">
        <v>605</v>
      </c>
      <c r="P27">
        <v>3.8</v>
      </c>
      <c r="Q27">
        <v>0</v>
      </c>
      <c r="R27">
        <v>7.5</v>
      </c>
      <c r="S27">
        <v>7.1</v>
      </c>
      <c r="T27">
        <v>9.5</v>
      </c>
      <c r="U27">
        <v>7.1</v>
      </c>
      <c r="V27">
        <v>9.3000000000000007</v>
      </c>
      <c r="W27">
        <v>8.9</v>
      </c>
      <c r="X27">
        <v>9.1</v>
      </c>
      <c r="Y27">
        <v>8.6</v>
      </c>
      <c r="Z27" t="s">
        <v>605</v>
      </c>
      <c r="AA27">
        <v>8.1999999999999993</v>
      </c>
      <c r="AB27">
        <v>8.6</v>
      </c>
      <c r="AC27" t="s">
        <v>26</v>
      </c>
      <c r="AD27">
        <v>0</v>
      </c>
      <c r="AE27">
        <v>9.4</v>
      </c>
      <c r="AF27">
        <v>8.9</v>
      </c>
      <c r="AG27">
        <v>9.3000000000000007</v>
      </c>
      <c r="AH27">
        <v>8.6999999999999993</v>
      </c>
      <c r="AI27">
        <v>5.7</v>
      </c>
      <c r="AJ27">
        <v>6.4</v>
      </c>
      <c r="AL27">
        <v>5.3</v>
      </c>
      <c r="AM27">
        <v>5.3</v>
      </c>
      <c r="AN27">
        <v>8</v>
      </c>
      <c r="AO27">
        <v>7</v>
      </c>
      <c r="AP27">
        <v>5</v>
      </c>
      <c r="AQ27">
        <v>7.5</v>
      </c>
      <c r="AR27" t="s">
        <v>26</v>
      </c>
      <c r="AS27">
        <v>8.3000000000000007</v>
      </c>
      <c r="AU27" t="s">
        <v>26</v>
      </c>
      <c r="AV27">
        <v>10</v>
      </c>
      <c r="AW27" t="s">
        <v>26</v>
      </c>
      <c r="AX27">
        <v>10</v>
      </c>
      <c r="AY27" t="s">
        <v>26</v>
      </c>
      <c r="AZ27">
        <v>10</v>
      </c>
      <c r="BA27" t="s">
        <v>26</v>
      </c>
      <c r="BB27">
        <v>10</v>
      </c>
      <c r="BC27" t="s">
        <v>26</v>
      </c>
      <c r="BD27">
        <v>10</v>
      </c>
      <c r="BE27" t="s">
        <v>26</v>
      </c>
      <c r="BF27">
        <v>10</v>
      </c>
      <c r="BG27" t="s">
        <v>26</v>
      </c>
      <c r="BH27">
        <v>10</v>
      </c>
      <c r="BI27" t="s">
        <v>26</v>
      </c>
      <c r="BJ27">
        <v>10</v>
      </c>
    </row>
    <row r="28" spans="1:62" x14ac:dyDescent="0.35">
      <c r="A28" t="s">
        <v>237</v>
      </c>
      <c r="B28" t="s">
        <v>237</v>
      </c>
      <c r="C28" t="s">
        <v>223</v>
      </c>
      <c r="D28" t="s">
        <v>660</v>
      </c>
      <c r="E28" t="s">
        <v>238</v>
      </c>
      <c r="F28" t="s">
        <v>661</v>
      </c>
      <c r="G28" t="s">
        <v>39</v>
      </c>
      <c r="H28" t="s">
        <v>239</v>
      </c>
      <c r="I28" t="s">
        <v>48</v>
      </c>
      <c r="J28">
        <v>8.6999999999999993</v>
      </c>
      <c r="K28" t="s">
        <v>662</v>
      </c>
      <c r="L28">
        <v>3</v>
      </c>
      <c r="M28">
        <v>9</v>
      </c>
      <c r="N28">
        <v>5.6</v>
      </c>
      <c r="O28" t="s">
        <v>662</v>
      </c>
      <c r="P28">
        <v>8.6999999999999993</v>
      </c>
      <c r="Q28">
        <v>4.0999999999999996</v>
      </c>
      <c r="R28">
        <v>10</v>
      </c>
      <c r="S28">
        <v>7.5</v>
      </c>
      <c r="T28">
        <v>8.6999999999999993</v>
      </c>
      <c r="U28">
        <v>5.9</v>
      </c>
      <c r="V28">
        <v>9.1</v>
      </c>
      <c r="W28">
        <v>8.3000000000000007</v>
      </c>
      <c r="X28">
        <v>9.1999999999999993</v>
      </c>
      <c r="Y28">
        <v>8.4</v>
      </c>
      <c r="Z28" t="s">
        <v>608</v>
      </c>
      <c r="AA28">
        <v>8.9</v>
      </c>
      <c r="AB28">
        <v>7.4</v>
      </c>
      <c r="AC28" t="s">
        <v>26</v>
      </c>
      <c r="AD28">
        <v>0</v>
      </c>
      <c r="AE28">
        <v>9.9</v>
      </c>
      <c r="AF28">
        <v>9.5</v>
      </c>
      <c r="AG28">
        <v>9</v>
      </c>
      <c r="AH28">
        <v>8.5</v>
      </c>
      <c r="AI28">
        <v>7.2</v>
      </c>
      <c r="AJ28">
        <v>6.7</v>
      </c>
      <c r="AL28">
        <v>6</v>
      </c>
      <c r="AM28">
        <v>6.7</v>
      </c>
      <c r="AN28">
        <v>8</v>
      </c>
      <c r="AO28">
        <v>7</v>
      </c>
      <c r="AP28">
        <v>8</v>
      </c>
      <c r="AQ28">
        <v>7.5</v>
      </c>
      <c r="AR28">
        <v>9.1</v>
      </c>
      <c r="AS28">
        <v>8.5</v>
      </c>
      <c r="AT28" t="s">
        <v>605</v>
      </c>
      <c r="AU28">
        <v>10</v>
      </c>
      <c r="AV28">
        <v>10</v>
      </c>
      <c r="AW28">
        <v>10</v>
      </c>
      <c r="AX28">
        <v>10</v>
      </c>
      <c r="AY28">
        <v>10</v>
      </c>
      <c r="AZ28">
        <v>10</v>
      </c>
      <c r="BA28">
        <v>9</v>
      </c>
      <c r="BB28">
        <v>10</v>
      </c>
      <c r="BC28">
        <v>10</v>
      </c>
      <c r="BD28">
        <v>10</v>
      </c>
      <c r="BE28">
        <v>10</v>
      </c>
      <c r="BF28">
        <v>10</v>
      </c>
      <c r="BG28">
        <v>8</v>
      </c>
      <c r="BH28">
        <v>10</v>
      </c>
      <c r="BI28">
        <v>9</v>
      </c>
      <c r="BJ28">
        <v>10</v>
      </c>
    </row>
    <row r="29" spans="1:62" x14ac:dyDescent="0.35">
      <c r="A29" t="s">
        <v>240</v>
      </c>
      <c r="B29" t="s">
        <v>240</v>
      </c>
      <c r="C29" t="s">
        <v>223</v>
      </c>
      <c r="D29" t="s">
        <v>663</v>
      </c>
      <c r="E29" t="s">
        <v>241</v>
      </c>
      <c r="F29" t="s">
        <v>664</v>
      </c>
      <c r="G29" t="s">
        <v>243</v>
      </c>
      <c r="H29" t="s">
        <v>242</v>
      </c>
      <c r="I29" t="s">
        <v>244</v>
      </c>
      <c r="J29">
        <v>5.9</v>
      </c>
      <c r="L29">
        <v>31</v>
      </c>
      <c r="M29">
        <v>2.5</v>
      </c>
      <c r="N29">
        <v>5.6</v>
      </c>
      <c r="P29">
        <v>0</v>
      </c>
      <c r="Q29">
        <v>4.0999999999999996</v>
      </c>
      <c r="R29">
        <v>5.8</v>
      </c>
      <c r="S29">
        <v>7.5</v>
      </c>
      <c r="T29">
        <v>3.6</v>
      </c>
      <c r="U29">
        <v>5.9</v>
      </c>
      <c r="V29">
        <v>8.3000000000000007</v>
      </c>
      <c r="W29">
        <v>8.3000000000000007</v>
      </c>
      <c r="X29">
        <v>8.6</v>
      </c>
      <c r="Y29">
        <v>8.4</v>
      </c>
      <c r="AA29">
        <v>7.4</v>
      </c>
      <c r="AB29">
        <v>7.4</v>
      </c>
      <c r="AC29" t="s">
        <v>26</v>
      </c>
      <c r="AD29">
        <v>0</v>
      </c>
      <c r="AE29">
        <v>8.3000000000000007</v>
      </c>
      <c r="AF29">
        <v>9.5</v>
      </c>
      <c r="AG29">
        <v>9.5</v>
      </c>
      <c r="AH29">
        <v>8.5</v>
      </c>
      <c r="AI29">
        <v>7.1</v>
      </c>
      <c r="AJ29">
        <v>6.7</v>
      </c>
      <c r="AL29">
        <v>6.7</v>
      </c>
      <c r="AM29">
        <v>6.7</v>
      </c>
      <c r="AN29">
        <v>6</v>
      </c>
      <c r="AO29">
        <v>7</v>
      </c>
      <c r="AP29">
        <v>8</v>
      </c>
      <c r="AQ29">
        <v>7.5</v>
      </c>
      <c r="AR29">
        <v>8.1</v>
      </c>
      <c r="AS29">
        <v>8.5</v>
      </c>
      <c r="AU29">
        <v>10</v>
      </c>
      <c r="AV29">
        <v>10</v>
      </c>
      <c r="AW29">
        <v>10</v>
      </c>
      <c r="AX29">
        <v>10</v>
      </c>
      <c r="AY29">
        <v>10</v>
      </c>
      <c r="AZ29">
        <v>10</v>
      </c>
      <c r="BA29">
        <v>10</v>
      </c>
      <c r="BB29">
        <v>10</v>
      </c>
      <c r="BC29">
        <v>10</v>
      </c>
      <c r="BD29">
        <v>10</v>
      </c>
      <c r="BE29">
        <v>8</v>
      </c>
      <c r="BF29">
        <v>10</v>
      </c>
      <c r="BG29">
        <v>8</v>
      </c>
      <c r="BH29">
        <v>10</v>
      </c>
      <c r="BI29">
        <v>10</v>
      </c>
      <c r="BJ29">
        <v>10</v>
      </c>
    </row>
    <row r="30" spans="1:62" x14ac:dyDescent="0.35">
      <c r="A30" t="s">
        <v>377</v>
      </c>
      <c r="B30" t="s">
        <v>377</v>
      </c>
      <c r="C30" t="s">
        <v>366</v>
      </c>
      <c r="D30" t="s">
        <v>665</v>
      </c>
      <c r="E30" t="s">
        <v>378</v>
      </c>
      <c r="F30" t="s">
        <v>666</v>
      </c>
      <c r="G30" t="s">
        <v>24</v>
      </c>
      <c r="H30" t="s">
        <v>23</v>
      </c>
      <c r="I30" t="s">
        <v>25</v>
      </c>
      <c r="J30">
        <v>5.7</v>
      </c>
      <c r="L30">
        <v>14</v>
      </c>
      <c r="M30">
        <v>1.9</v>
      </c>
      <c r="N30">
        <v>3.35</v>
      </c>
      <c r="P30">
        <v>0</v>
      </c>
      <c r="Q30">
        <v>0</v>
      </c>
      <c r="R30">
        <v>0</v>
      </c>
      <c r="S30">
        <v>7.1</v>
      </c>
      <c r="T30">
        <v>6</v>
      </c>
      <c r="U30">
        <v>7.1</v>
      </c>
      <c r="V30">
        <v>9.8000000000000007</v>
      </c>
      <c r="W30">
        <v>8.9</v>
      </c>
      <c r="X30">
        <v>8.4</v>
      </c>
      <c r="Y30">
        <v>8.6</v>
      </c>
      <c r="AA30">
        <v>7.6</v>
      </c>
      <c r="AB30">
        <v>8.6</v>
      </c>
      <c r="AC30" t="s">
        <v>26</v>
      </c>
      <c r="AD30">
        <v>0</v>
      </c>
      <c r="AE30">
        <v>8.6</v>
      </c>
      <c r="AF30">
        <v>8.9</v>
      </c>
      <c r="AG30">
        <v>8.6</v>
      </c>
      <c r="AH30">
        <v>8.6999999999999993</v>
      </c>
      <c r="AI30">
        <v>8</v>
      </c>
      <c r="AJ30">
        <v>6.4</v>
      </c>
      <c r="AK30" t="s">
        <v>602</v>
      </c>
      <c r="AL30">
        <v>8.6999999999999993</v>
      </c>
      <c r="AM30">
        <v>5.3</v>
      </c>
      <c r="AN30" t="s">
        <v>26</v>
      </c>
      <c r="AO30">
        <v>7</v>
      </c>
      <c r="AP30">
        <v>8</v>
      </c>
      <c r="AQ30">
        <v>7.5</v>
      </c>
      <c r="AR30">
        <v>8.3000000000000007</v>
      </c>
      <c r="AS30">
        <v>8.3000000000000007</v>
      </c>
      <c r="AT30" t="s">
        <v>605</v>
      </c>
      <c r="AU30">
        <v>10</v>
      </c>
      <c r="AV30">
        <v>10</v>
      </c>
      <c r="AW30">
        <v>10</v>
      </c>
      <c r="AX30">
        <v>10</v>
      </c>
      <c r="AY30">
        <v>10</v>
      </c>
      <c r="AZ30">
        <v>10</v>
      </c>
      <c r="BA30">
        <v>10</v>
      </c>
      <c r="BB30">
        <v>10</v>
      </c>
      <c r="BC30">
        <v>10</v>
      </c>
      <c r="BD30">
        <v>10</v>
      </c>
      <c r="BE30">
        <v>10</v>
      </c>
      <c r="BF30">
        <v>10</v>
      </c>
      <c r="BG30">
        <v>8</v>
      </c>
      <c r="BH30">
        <v>10</v>
      </c>
      <c r="BI30">
        <v>10</v>
      </c>
      <c r="BJ30">
        <v>10</v>
      </c>
    </row>
    <row r="31" spans="1:62" x14ac:dyDescent="0.35">
      <c r="A31" t="s">
        <v>192</v>
      </c>
      <c r="B31" t="s">
        <v>192</v>
      </c>
      <c r="C31" t="s">
        <v>135</v>
      </c>
      <c r="D31" t="s">
        <v>667</v>
      </c>
      <c r="E31" t="s">
        <v>193</v>
      </c>
      <c r="F31" t="s">
        <v>668</v>
      </c>
      <c r="G31" t="s">
        <v>57</v>
      </c>
      <c r="H31" t="s">
        <v>669</v>
      </c>
      <c r="I31" t="s">
        <v>48</v>
      </c>
      <c r="J31">
        <v>5.7</v>
      </c>
      <c r="L31">
        <v>26</v>
      </c>
      <c r="M31">
        <v>3</v>
      </c>
      <c r="N31">
        <v>4.9000000000000004</v>
      </c>
      <c r="P31">
        <v>5</v>
      </c>
      <c r="Q31">
        <v>3.2</v>
      </c>
      <c r="R31">
        <v>1</v>
      </c>
      <c r="S31">
        <v>6</v>
      </c>
      <c r="T31">
        <v>0</v>
      </c>
      <c r="U31">
        <v>6.8</v>
      </c>
      <c r="V31">
        <v>0</v>
      </c>
      <c r="W31">
        <v>8.5</v>
      </c>
      <c r="X31">
        <v>7.6</v>
      </c>
      <c r="Y31">
        <v>8.1999999999999993</v>
      </c>
      <c r="AA31">
        <v>7.5</v>
      </c>
      <c r="AB31">
        <v>7.3</v>
      </c>
      <c r="AC31">
        <v>8.3000000000000007</v>
      </c>
      <c r="AD31">
        <v>8.6</v>
      </c>
      <c r="AE31">
        <v>4.7</v>
      </c>
      <c r="AF31">
        <v>9.4</v>
      </c>
      <c r="AG31">
        <v>10</v>
      </c>
      <c r="AH31">
        <v>8.1999999999999993</v>
      </c>
      <c r="AI31">
        <v>7.6</v>
      </c>
      <c r="AJ31">
        <v>7.1</v>
      </c>
      <c r="AK31" t="s">
        <v>605</v>
      </c>
      <c r="AL31">
        <v>8.6999999999999993</v>
      </c>
      <c r="AM31">
        <v>7.3</v>
      </c>
      <c r="AN31" t="s">
        <v>26</v>
      </c>
      <c r="AO31">
        <v>7</v>
      </c>
      <c r="AP31" t="s">
        <v>26</v>
      </c>
      <c r="AQ31">
        <v>8</v>
      </c>
      <c r="AR31" t="s">
        <v>26</v>
      </c>
      <c r="AS31">
        <v>8.5</v>
      </c>
      <c r="AU31" t="s">
        <v>26</v>
      </c>
      <c r="AV31">
        <v>10</v>
      </c>
      <c r="AW31" t="s">
        <v>26</v>
      </c>
      <c r="AX31">
        <v>10</v>
      </c>
      <c r="AY31" t="s">
        <v>26</v>
      </c>
      <c r="AZ31">
        <v>10</v>
      </c>
      <c r="BA31" t="s">
        <v>26</v>
      </c>
      <c r="BB31">
        <v>10</v>
      </c>
      <c r="BC31" t="s">
        <v>26</v>
      </c>
      <c r="BD31">
        <v>10</v>
      </c>
      <c r="BE31" t="s">
        <v>26</v>
      </c>
      <c r="BF31">
        <v>10</v>
      </c>
      <c r="BG31" t="s">
        <v>26</v>
      </c>
      <c r="BH31">
        <v>10</v>
      </c>
      <c r="BI31" t="s">
        <v>26</v>
      </c>
      <c r="BJ31">
        <v>10</v>
      </c>
    </row>
    <row r="32" spans="1:62" x14ac:dyDescent="0.35">
      <c r="A32" t="s">
        <v>257</v>
      </c>
      <c r="B32" t="s">
        <v>257</v>
      </c>
      <c r="C32" t="s">
        <v>223</v>
      </c>
      <c r="D32" t="s">
        <v>670</v>
      </c>
      <c r="E32" t="s">
        <v>258</v>
      </c>
      <c r="F32" t="s">
        <v>671</v>
      </c>
      <c r="G32" t="s">
        <v>39</v>
      </c>
      <c r="H32" t="s">
        <v>23</v>
      </c>
      <c r="I32" t="s">
        <v>33</v>
      </c>
      <c r="J32">
        <v>6.2</v>
      </c>
      <c r="L32">
        <v>27</v>
      </c>
      <c r="M32">
        <v>3.7</v>
      </c>
      <c r="N32">
        <v>5.6</v>
      </c>
      <c r="P32">
        <v>4.0999999999999996</v>
      </c>
      <c r="Q32">
        <v>4.0999999999999996</v>
      </c>
      <c r="R32">
        <v>0</v>
      </c>
      <c r="S32">
        <v>7.5</v>
      </c>
      <c r="T32">
        <v>4.5999999999999996</v>
      </c>
      <c r="U32">
        <v>5.9</v>
      </c>
      <c r="V32">
        <v>7.6</v>
      </c>
      <c r="W32">
        <v>8.3000000000000007</v>
      </c>
      <c r="X32">
        <v>7.4</v>
      </c>
      <c r="Y32">
        <v>8.4</v>
      </c>
      <c r="AA32">
        <v>5.8</v>
      </c>
      <c r="AB32">
        <v>7.4</v>
      </c>
      <c r="AC32" t="s">
        <v>26</v>
      </c>
      <c r="AD32">
        <v>0</v>
      </c>
      <c r="AE32">
        <v>9.5</v>
      </c>
      <c r="AF32">
        <v>9.5</v>
      </c>
      <c r="AG32">
        <v>7</v>
      </c>
      <c r="AH32">
        <v>8.5</v>
      </c>
      <c r="AI32">
        <v>8.5</v>
      </c>
      <c r="AJ32">
        <v>6.7</v>
      </c>
      <c r="AK32" t="s">
        <v>622</v>
      </c>
      <c r="AL32">
        <v>8.6999999999999993</v>
      </c>
      <c r="AM32">
        <v>6.7</v>
      </c>
      <c r="AN32">
        <v>7</v>
      </c>
      <c r="AO32">
        <v>7</v>
      </c>
      <c r="AP32">
        <v>9</v>
      </c>
      <c r="AQ32">
        <v>7.5</v>
      </c>
      <c r="AR32" t="s">
        <v>26</v>
      </c>
      <c r="AS32">
        <v>8.5</v>
      </c>
      <c r="AU32" t="s">
        <v>26</v>
      </c>
      <c r="AV32">
        <v>10</v>
      </c>
      <c r="AW32" t="s">
        <v>26</v>
      </c>
      <c r="AX32">
        <v>10</v>
      </c>
      <c r="AY32" t="s">
        <v>26</v>
      </c>
      <c r="AZ32">
        <v>10</v>
      </c>
      <c r="BA32" t="s">
        <v>26</v>
      </c>
      <c r="BB32">
        <v>10</v>
      </c>
      <c r="BC32" t="s">
        <v>26</v>
      </c>
      <c r="BD32">
        <v>10</v>
      </c>
      <c r="BE32" t="s">
        <v>26</v>
      </c>
      <c r="BF32">
        <v>10</v>
      </c>
      <c r="BG32" t="s">
        <v>26</v>
      </c>
      <c r="BH32">
        <v>10</v>
      </c>
      <c r="BI32" t="s">
        <v>26</v>
      </c>
      <c r="BJ32">
        <v>10</v>
      </c>
    </row>
    <row r="33" spans="1:62" x14ac:dyDescent="0.35">
      <c r="A33" t="s">
        <v>267</v>
      </c>
      <c r="B33" t="s">
        <v>267</v>
      </c>
      <c r="C33" t="s">
        <v>223</v>
      </c>
      <c r="D33" t="s">
        <v>672</v>
      </c>
      <c r="E33" t="s">
        <v>268</v>
      </c>
      <c r="F33" t="s">
        <v>673</v>
      </c>
      <c r="G33" t="s">
        <v>39</v>
      </c>
      <c r="H33" t="s">
        <v>23</v>
      </c>
      <c r="I33" t="s">
        <v>73</v>
      </c>
      <c r="J33">
        <v>6.7</v>
      </c>
      <c r="L33">
        <v>24</v>
      </c>
      <c r="M33">
        <v>4.4000000000000004</v>
      </c>
      <c r="N33">
        <v>5.6</v>
      </c>
      <c r="P33">
        <v>3</v>
      </c>
      <c r="Q33">
        <v>4.0999999999999996</v>
      </c>
      <c r="R33">
        <v>5.0999999999999996</v>
      </c>
      <c r="S33">
        <v>7.5</v>
      </c>
      <c r="T33">
        <v>6.5</v>
      </c>
      <c r="U33">
        <v>5.9</v>
      </c>
      <c r="V33">
        <v>8.1999999999999993</v>
      </c>
      <c r="W33">
        <v>8.3000000000000007</v>
      </c>
      <c r="X33">
        <v>9.1</v>
      </c>
      <c r="Y33">
        <v>8.4</v>
      </c>
      <c r="Z33" t="s">
        <v>605</v>
      </c>
      <c r="AA33">
        <v>9.1</v>
      </c>
      <c r="AB33">
        <v>7.4</v>
      </c>
      <c r="AC33" t="s">
        <v>26</v>
      </c>
      <c r="AD33">
        <v>0</v>
      </c>
      <c r="AE33">
        <v>9.8000000000000007</v>
      </c>
      <c r="AF33">
        <v>9.5</v>
      </c>
      <c r="AG33">
        <v>8.5</v>
      </c>
      <c r="AH33">
        <v>8.5</v>
      </c>
      <c r="AI33">
        <v>6.5</v>
      </c>
      <c r="AJ33">
        <v>6.7</v>
      </c>
      <c r="AL33">
        <v>6.7</v>
      </c>
      <c r="AM33">
        <v>6.7</v>
      </c>
      <c r="AN33">
        <v>7</v>
      </c>
      <c r="AO33">
        <v>7</v>
      </c>
      <c r="AP33">
        <v>6</v>
      </c>
      <c r="AQ33">
        <v>7.5</v>
      </c>
      <c r="AR33">
        <v>8.5</v>
      </c>
      <c r="AS33">
        <v>8.5</v>
      </c>
      <c r="AU33">
        <v>10</v>
      </c>
      <c r="AV33">
        <v>10</v>
      </c>
      <c r="AW33">
        <v>10</v>
      </c>
      <c r="AX33">
        <v>10</v>
      </c>
      <c r="AY33">
        <v>10</v>
      </c>
      <c r="AZ33">
        <v>10</v>
      </c>
      <c r="BA33">
        <v>10</v>
      </c>
      <c r="BB33">
        <v>10</v>
      </c>
      <c r="BC33">
        <v>10</v>
      </c>
      <c r="BD33">
        <v>10</v>
      </c>
      <c r="BE33">
        <v>10</v>
      </c>
      <c r="BF33">
        <v>10</v>
      </c>
      <c r="BG33">
        <v>10</v>
      </c>
      <c r="BH33">
        <v>10</v>
      </c>
      <c r="BI33">
        <v>10</v>
      </c>
      <c r="BJ33">
        <v>10</v>
      </c>
    </row>
    <row r="34" spans="1:62" x14ac:dyDescent="0.35">
      <c r="A34" t="s">
        <v>155</v>
      </c>
      <c r="B34" t="s">
        <v>155</v>
      </c>
      <c r="C34" t="s">
        <v>135</v>
      </c>
      <c r="D34" t="s">
        <v>674</v>
      </c>
      <c r="E34" t="s">
        <v>156</v>
      </c>
      <c r="F34" t="s">
        <v>675</v>
      </c>
      <c r="G34" t="s">
        <v>39</v>
      </c>
      <c r="H34" t="s">
        <v>23</v>
      </c>
      <c r="I34" t="s">
        <v>33</v>
      </c>
      <c r="J34">
        <v>8</v>
      </c>
      <c r="K34" t="s">
        <v>605</v>
      </c>
      <c r="L34">
        <v>7</v>
      </c>
      <c r="M34">
        <v>7</v>
      </c>
      <c r="N34">
        <v>4.9000000000000004</v>
      </c>
      <c r="O34" t="s">
        <v>605</v>
      </c>
      <c r="P34">
        <v>6.5</v>
      </c>
      <c r="Q34">
        <v>3.2</v>
      </c>
      <c r="R34">
        <v>8.6</v>
      </c>
      <c r="S34">
        <v>6</v>
      </c>
      <c r="T34">
        <v>6.7</v>
      </c>
      <c r="U34">
        <v>6.8</v>
      </c>
      <c r="V34">
        <v>7.5</v>
      </c>
      <c r="W34">
        <v>8.5</v>
      </c>
      <c r="X34">
        <v>9.1</v>
      </c>
      <c r="Y34">
        <v>8.1999999999999993</v>
      </c>
      <c r="Z34" t="s">
        <v>662</v>
      </c>
      <c r="AA34">
        <v>8.8000000000000007</v>
      </c>
      <c r="AB34">
        <v>7.3</v>
      </c>
      <c r="AC34">
        <v>8.6</v>
      </c>
      <c r="AD34">
        <v>8.6</v>
      </c>
      <c r="AE34">
        <v>10</v>
      </c>
      <c r="AF34">
        <v>9.4</v>
      </c>
      <c r="AG34">
        <v>9.1999999999999993</v>
      </c>
      <c r="AH34">
        <v>8.1999999999999993</v>
      </c>
      <c r="AI34">
        <v>7.7</v>
      </c>
      <c r="AJ34">
        <v>7.1</v>
      </c>
      <c r="AK34" t="s">
        <v>608</v>
      </c>
      <c r="AL34">
        <v>7.3</v>
      </c>
      <c r="AM34">
        <v>7.3</v>
      </c>
      <c r="AN34">
        <v>6</v>
      </c>
      <c r="AO34">
        <v>7</v>
      </c>
      <c r="AP34">
        <v>9</v>
      </c>
      <c r="AQ34">
        <v>8</v>
      </c>
      <c r="AR34">
        <v>8.5</v>
      </c>
      <c r="AS34">
        <v>8.5</v>
      </c>
      <c r="AT34" t="s">
        <v>605</v>
      </c>
      <c r="AU34">
        <v>10</v>
      </c>
      <c r="AV34">
        <v>10</v>
      </c>
      <c r="AW34">
        <v>10</v>
      </c>
      <c r="AX34">
        <v>10</v>
      </c>
      <c r="AY34">
        <v>10</v>
      </c>
      <c r="AZ34">
        <v>10</v>
      </c>
      <c r="BA34">
        <v>10</v>
      </c>
      <c r="BB34">
        <v>10</v>
      </c>
      <c r="BC34">
        <v>10</v>
      </c>
      <c r="BD34">
        <v>10</v>
      </c>
      <c r="BE34">
        <v>10</v>
      </c>
      <c r="BF34">
        <v>10</v>
      </c>
      <c r="BG34">
        <v>10</v>
      </c>
      <c r="BH34">
        <v>10</v>
      </c>
      <c r="BI34">
        <v>10</v>
      </c>
      <c r="BJ34">
        <v>10</v>
      </c>
    </row>
    <row r="35" spans="1:62" x14ac:dyDescent="0.35">
      <c r="A35" t="s">
        <v>245</v>
      </c>
      <c r="B35" t="s">
        <v>245</v>
      </c>
      <c r="C35" t="s">
        <v>223</v>
      </c>
      <c r="D35" t="s">
        <v>676</v>
      </c>
      <c r="E35" t="s">
        <v>246</v>
      </c>
      <c r="F35" t="s">
        <v>677</v>
      </c>
      <c r="G35" t="s">
        <v>39</v>
      </c>
      <c r="H35" t="s">
        <v>23</v>
      </c>
      <c r="I35" t="s">
        <v>73</v>
      </c>
      <c r="J35">
        <v>7.9</v>
      </c>
      <c r="K35" t="s">
        <v>605</v>
      </c>
      <c r="L35">
        <v>10</v>
      </c>
      <c r="M35">
        <v>7.8</v>
      </c>
      <c r="N35">
        <v>5.6</v>
      </c>
      <c r="O35" t="s">
        <v>605</v>
      </c>
      <c r="P35">
        <v>7.2</v>
      </c>
      <c r="Q35">
        <v>4.0999999999999996</v>
      </c>
      <c r="R35">
        <v>9</v>
      </c>
      <c r="S35">
        <v>7.5</v>
      </c>
      <c r="T35">
        <v>7.4</v>
      </c>
      <c r="U35">
        <v>5.9</v>
      </c>
      <c r="V35">
        <v>8.6999999999999993</v>
      </c>
      <c r="W35">
        <v>8.3000000000000007</v>
      </c>
      <c r="X35">
        <v>8.8000000000000007</v>
      </c>
      <c r="Y35">
        <v>8.4</v>
      </c>
      <c r="AA35">
        <v>8.5</v>
      </c>
      <c r="AB35">
        <v>7.4</v>
      </c>
      <c r="AC35" t="s">
        <v>26</v>
      </c>
      <c r="AD35">
        <v>0</v>
      </c>
      <c r="AE35">
        <v>9.6</v>
      </c>
      <c r="AF35">
        <v>9.5</v>
      </c>
      <c r="AG35">
        <v>8.5</v>
      </c>
      <c r="AH35">
        <v>8.5</v>
      </c>
      <c r="AI35">
        <v>6.1</v>
      </c>
      <c r="AJ35">
        <v>6.7</v>
      </c>
      <c r="AL35">
        <v>9.6</v>
      </c>
      <c r="AM35">
        <v>6.7</v>
      </c>
      <c r="AN35">
        <v>5</v>
      </c>
      <c r="AO35">
        <v>7</v>
      </c>
      <c r="AP35">
        <v>6</v>
      </c>
      <c r="AQ35">
        <v>7.5</v>
      </c>
      <c r="AR35">
        <v>7.9</v>
      </c>
      <c r="AS35">
        <v>8.5</v>
      </c>
      <c r="AU35">
        <v>10</v>
      </c>
      <c r="AV35">
        <v>10</v>
      </c>
      <c r="AW35">
        <v>10</v>
      </c>
      <c r="AX35">
        <v>10</v>
      </c>
      <c r="AY35">
        <v>8</v>
      </c>
      <c r="AZ35">
        <v>10</v>
      </c>
      <c r="BA35">
        <v>10</v>
      </c>
      <c r="BB35">
        <v>10</v>
      </c>
      <c r="BC35">
        <v>10</v>
      </c>
      <c r="BD35">
        <v>10</v>
      </c>
      <c r="BE35">
        <v>8</v>
      </c>
      <c r="BF35">
        <v>10</v>
      </c>
      <c r="BG35">
        <v>8</v>
      </c>
      <c r="BH35">
        <v>10</v>
      </c>
      <c r="BI35">
        <v>10</v>
      </c>
      <c r="BJ35">
        <v>10</v>
      </c>
    </row>
    <row r="36" spans="1:62" x14ac:dyDescent="0.35">
      <c r="A36" t="s">
        <v>34</v>
      </c>
      <c r="B36" t="s">
        <v>34</v>
      </c>
      <c r="C36" t="s">
        <v>21</v>
      </c>
      <c r="D36" t="s">
        <v>678</v>
      </c>
      <c r="E36" t="s">
        <v>35</v>
      </c>
      <c r="F36" t="s">
        <v>679</v>
      </c>
      <c r="G36" t="s">
        <v>24</v>
      </c>
      <c r="H36" t="s">
        <v>23</v>
      </c>
      <c r="I36" t="s">
        <v>36</v>
      </c>
      <c r="J36">
        <v>7.3</v>
      </c>
      <c r="K36" t="s">
        <v>605</v>
      </c>
      <c r="L36">
        <v>8</v>
      </c>
      <c r="M36">
        <v>7.1</v>
      </c>
      <c r="N36">
        <v>3.6</v>
      </c>
      <c r="O36" t="s">
        <v>605</v>
      </c>
      <c r="P36">
        <v>6.8</v>
      </c>
      <c r="Q36">
        <v>1</v>
      </c>
      <c r="R36">
        <v>6.6</v>
      </c>
      <c r="S36">
        <v>7.1</v>
      </c>
      <c r="T36">
        <v>7.7</v>
      </c>
      <c r="U36">
        <v>6.3</v>
      </c>
      <c r="V36">
        <v>8.1999999999999993</v>
      </c>
      <c r="W36">
        <v>8.9</v>
      </c>
      <c r="X36">
        <v>7.8</v>
      </c>
      <c r="Y36">
        <v>7.8</v>
      </c>
      <c r="AA36">
        <v>5.7</v>
      </c>
      <c r="AB36">
        <v>7.6</v>
      </c>
      <c r="AC36">
        <v>8.9</v>
      </c>
      <c r="AD36">
        <v>7.5</v>
      </c>
      <c r="AE36">
        <v>6.1</v>
      </c>
      <c r="AF36">
        <v>7.4</v>
      </c>
      <c r="AG36">
        <v>8.6</v>
      </c>
      <c r="AH36">
        <v>8.6999999999999993</v>
      </c>
      <c r="AI36">
        <v>6.7</v>
      </c>
      <c r="AJ36">
        <v>7.1</v>
      </c>
      <c r="AL36">
        <v>8.6999999999999993</v>
      </c>
      <c r="AM36">
        <v>6.7</v>
      </c>
      <c r="AN36">
        <v>6</v>
      </c>
      <c r="AO36">
        <v>6</v>
      </c>
      <c r="AP36">
        <v>5</v>
      </c>
      <c r="AQ36">
        <v>7.5</v>
      </c>
      <c r="AR36">
        <v>7</v>
      </c>
      <c r="AS36">
        <v>8.3000000000000007</v>
      </c>
      <c r="AU36">
        <v>8</v>
      </c>
      <c r="AV36">
        <v>10</v>
      </c>
      <c r="AW36">
        <v>8</v>
      </c>
      <c r="AX36">
        <v>10</v>
      </c>
      <c r="AY36">
        <v>8</v>
      </c>
      <c r="AZ36">
        <v>10</v>
      </c>
      <c r="BA36">
        <v>8</v>
      </c>
      <c r="BB36">
        <v>10</v>
      </c>
      <c r="BC36">
        <v>8</v>
      </c>
      <c r="BD36">
        <v>10</v>
      </c>
      <c r="BE36">
        <v>8</v>
      </c>
      <c r="BF36">
        <v>10</v>
      </c>
      <c r="BG36">
        <v>8</v>
      </c>
      <c r="BH36">
        <v>10</v>
      </c>
      <c r="BI36">
        <v>8</v>
      </c>
      <c r="BJ36">
        <v>10</v>
      </c>
    </row>
    <row r="37" spans="1:62" x14ac:dyDescent="0.35">
      <c r="A37" t="s">
        <v>157</v>
      </c>
      <c r="B37" t="s">
        <v>157</v>
      </c>
      <c r="C37" t="s">
        <v>135</v>
      </c>
      <c r="D37" t="s">
        <v>680</v>
      </c>
      <c r="E37" t="s">
        <v>158</v>
      </c>
      <c r="F37" t="s">
        <v>681</v>
      </c>
      <c r="G37" t="s">
        <v>39</v>
      </c>
      <c r="H37" t="s">
        <v>23</v>
      </c>
      <c r="I37" t="s">
        <v>33</v>
      </c>
      <c r="J37">
        <v>5.4</v>
      </c>
      <c r="L37">
        <v>35</v>
      </c>
      <c r="M37">
        <v>2.2999999999999998</v>
      </c>
      <c r="N37">
        <v>4.9000000000000004</v>
      </c>
      <c r="P37">
        <v>0</v>
      </c>
      <c r="Q37">
        <v>3.2</v>
      </c>
      <c r="R37">
        <v>2.9</v>
      </c>
      <c r="S37">
        <v>6</v>
      </c>
      <c r="T37">
        <v>6.5</v>
      </c>
      <c r="U37">
        <v>6.8</v>
      </c>
      <c r="V37">
        <v>7.4</v>
      </c>
      <c r="W37">
        <v>8.5</v>
      </c>
      <c r="X37">
        <v>7.8</v>
      </c>
      <c r="Y37">
        <v>8.1999999999999993</v>
      </c>
      <c r="AA37">
        <v>6.7</v>
      </c>
      <c r="AB37">
        <v>7.3</v>
      </c>
      <c r="AC37">
        <v>7.6</v>
      </c>
      <c r="AD37">
        <v>8.6</v>
      </c>
      <c r="AE37">
        <v>10</v>
      </c>
      <c r="AF37">
        <v>9.4</v>
      </c>
      <c r="AG37">
        <v>7.5</v>
      </c>
      <c r="AH37">
        <v>8.1999999999999993</v>
      </c>
      <c r="AI37">
        <v>6.9</v>
      </c>
      <c r="AJ37">
        <v>7.1</v>
      </c>
      <c r="AL37">
        <v>7.3</v>
      </c>
      <c r="AM37">
        <v>7.3</v>
      </c>
      <c r="AN37">
        <v>6</v>
      </c>
      <c r="AO37">
        <v>7</v>
      </c>
      <c r="AP37" t="s">
        <v>26</v>
      </c>
      <c r="AQ37">
        <v>8</v>
      </c>
      <c r="AR37" t="s">
        <v>26</v>
      </c>
      <c r="AS37">
        <v>8.5</v>
      </c>
      <c r="AU37" t="s">
        <v>26</v>
      </c>
      <c r="AV37">
        <v>10</v>
      </c>
      <c r="AW37" t="s">
        <v>26</v>
      </c>
      <c r="AX37">
        <v>10</v>
      </c>
      <c r="AY37" t="s">
        <v>26</v>
      </c>
      <c r="AZ37">
        <v>10</v>
      </c>
      <c r="BA37" t="s">
        <v>26</v>
      </c>
      <c r="BB37">
        <v>10</v>
      </c>
      <c r="BC37" t="s">
        <v>26</v>
      </c>
      <c r="BD37">
        <v>10</v>
      </c>
      <c r="BE37" t="s">
        <v>26</v>
      </c>
      <c r="BF37">
        <v>10</v>
      </c>
      <c r="BG37" t="s">
        <v>26</v>
      </c>
      <c r="BH37">
        <v>10</v>
      </c>
      <c r="BI37" t="s">
        <v>26</v>
      </c>
      <c r="BJ37">
        <v>10</v>
      </c>
    </row>
    <row r="38" spans="1:62" x14ac:dyDescent="0.35">
      <c r="A38" t="s">
        <v>37</v>
      </c>
      <c r="B38" t="s">
        <v>37</v>
      </c>
      <c r="C38" t="s">
        <v>21</v>
      </c>
      <c r="D38" t="s">
        <v>682</v>
      </c>
      <c r="E38" t="s">
        <v>38</v>
      </c>
      <c r="F38" t="s">
        <v>683</v>
      </c>
      <c r="G38" t="s">
        <v>39</v>
      </c>
      <c r="H38" t="s">
        <v>60</v>
      </c>
      <c r="I38" t="s">
        <v>25</v>
      </c>
      <c r="J38">
        <v>5.2</v>
      </c>
      <c r="L38">
        <v>30</v>
      </c>
      <c r="M38">
        <v>4.4000000000000004</v>
      </c>
      <c r="N38">
        <v>3.6</v>
      </c>
      <c r="P38">
        <v>1</v>
      </c>
      <c r="Q38">
        <v>1</v>
      </c>
      <c r="R38">
        <v>9.1999999999999993</v>
      </c>
      <c r="S38">
        <v>7.1</v>
      </c>
      <c r="T38">
        <v>7.2</v>
      </c>
      <c r="U38">
        <v>6.3</v>
      </c>
      <c r="V38">
        <v>9.1</v>
      </c>
      <c r="W38">
        <v>8.9</v>
      </c>
      <c r="X38">
        <v>5.5</v>
      </c>
      <c r="Y38">
        <v>7.8</v>
      </c>
      <c r="AA38">
        <v>5.7</v>
      </c>
      <c r="AB38">
        <v>7.6</v>
      </c>
      <c r="AC38">
        <v>4.2</v>
      </c>
      <c r="AD38">
        <v>7.5</v>
      </c>
      <c r="AE38">
        <v>0</v>
      </c>
      <c r="AF38">
        <v>7.4</v>
      </c>
      <c r="AG38">
        <v>8</v>
      </c>
      <c r="AH38">
        <v>8.6999999999999993</v>
      </c>
      <c r="AI38">
        <v>6.2</v>
      </c>
      <c r="AJ38">
        <v>7.1</v>
      </c>
      <c r="AL38">
        <v>6</v>
      </c>
      <c r="AM38">
        <v>6.7</v>
      </c>
      <c r="AN38">
        <v>7</v>
      </c>
      <c r="AO38">
        <v>6</v>
      </c>
      <c r="AP38">
        <v>6</v>
      </c>
      <c r="AQ38">
        <v>7.5</v>
      </c>
      <c r="AR38" t="s">
        <v>26</v>
      </c>
      <c r="AS38">
        <v>8.3000000000000007</v>
      </c>
      <c r="AU38" t="s">
        <v>26</v>
      </c>
      <c r="AV38">
        <v>10</v>
      </c>
      <c r="AW38" t="s">
        <v>26</v>
      </c>
      <c r="AX38">
        <v>10</v>
      </c>
      <c r="AY38" t="s">
        <v>26</v>
      </c>
      <c r="AZ38">
        <v>10</v>
      </c>
      <c r="BA38" t="s">
        <v>26</v>
      </c>
      <c r="BB38">
        <v>10</v>
      </c>
      <c r="BC38" t="s">
        <v>26</v>
      </c>
      <c r="BD38">
        <v>10</v>
      </c>
      <c r="BE38" t="s">
        <v>26</v>
      </c>
      <c r="BF38">
        <v>10</v>
      </c>
      <c r="BG38" t="s">
        <v>26</v>
      </c>
      <c r="BH38">
        <v>10</v>
      </c>
      <c r="BI38" t="s">
        <v>26</v>
      </c>
      <c r="BJ38">
        <v>10</v>
      </c>
    </row>
    <row r="39" spans="1:62" x14ac:dyDescent="0.35">
      <c r="A39" t="s">
        <v>269</v>
      </c>
      <c r="B39" t="s">
        <v>269</v>
      </c>
      <c r="C39" t="s">
        <v>223</v>
      </c>
      <c r="D39" t="s">
        <v>684</v>
      </c>
      <c r="E39" t="s">
        <v>270</v>
      </c>
      <c r="F39" t="s">
        <v>685</v>
      </c>
      <c r="G39" t="s">
        <v>24</v>
      </c>
      <c r="H39" t="s">
        <v>23</v>
      </c>
      <c r="I39" t="s">
        <v>25</v>
      </c>
      <c r="J39">
        <v>7.5</v>
      </c>
      <c r="L39">
        <v>13</v>
      </c>
      <c r="M39">
        <v>5.9</v>
      </c>
      <c r="N39">
        <v>5.6</v>
      </c>
      <c r="P39">
        <v>4.0999999999999996</v>
      </c>
      <c r="Q39">
        <v>4.0999999999999996</v>
      </c>
      <c r="R39">
        <v>10</v>
      </c>
      <c r="S39">
        <v>7.5</v>
      </c>
      <c r="T39">
        <v>5.6</v>
      </c>
      <c r="U39">
        <v>5.9</v>
      </c>
      <c r="V39">
        <v>7.9</v>
      </c>
      <c r="W39">
        <v>8.3000000000000007</v>
      </c>
      <c r="X39">
        <v>9.1</v>
      </c>
      <c r="Y39">
        <v>8.4</v>
      </c>
      <c r="Z39" t="s">
        <v>605</v>
      </c>
      <c r="AA39">
        <v>8.3000000000000007</v>
      </c>
      <c r="AB39">
        <v>7.4</v>
      </c>
      <c r="AC39" t="s">
        <v>26</v>
      </c>
      <c r="AD39">
        <v>0</v>
      </c>
      <c r="AE39">
        <v>9</v>
      </c>
      <c r="AF39">
        <v>9.5</v>
      </c>
      <c r="AG39">
        <v>9.5</v>
      </c>
      <c r="AH39">
        <v>8.5</v>
      </c>
      <c r="AI39">
        <v>7.7</v>
      </c>
      <c r="AJ39">
        <v>6.7</v>
      </c>
      <c r="AK39" t="s">
        <v>605</v>
      </c>
      <c r="AL39">
        <v>6.7</v>
      </c>
      <c r="AM39">
        <v>6.7</v>
      </c>
      <c r="AN39">
        <v>7</v>
      </c>
      <c r="AO39">
        <v>7</v>
      </c>
      <c r="AP39">
        <v>9</v>
      </c>
      <c r="AQ39">
        <v>7.5</v>
      </c>
      <c r="AR39">
        <v>8.5</v>
      </c>
      <c r="AS39">
        <v>8.5</v>
      </c>
      <c r="AT39" t="s">
        <v>605</v>
      </c>
      <c r="AU39">
        <v>10</v>
      </c>
      <c r="AV39">
        <v>10</v>
      </c>
      <c r="AW39">
        <v>10</v>
      </c>
      <c r="AX39">
        <v>10</v>
      </c>
      <c r="AY39">
        <v>10</v>
      </c>
      <c r="AZ39">
        <v>10</v>
      </c>
      <c r="BA39">
        <v>10</v>
      </c>
      <c r="BB39">
        <v>10</v>
      </c>
      <c r="BC39">
        <v>10</v>
      </c>
      <c r="BD39">
        <v>10</v>
      </c>
      <c r="BE39">
        <v>10</v>
      </c>
      <c r="BF39">
        <v>10</v>
      </c>
      <c r="BG39">
        <v>10</v>
      </c>
      <c r="BH39">
        <v>10</v>
      </c>
      <c r="BI39">
        <v>10</v>
      </c>
      <c r="BJ39">
        <v>10</v>
      </c>
    </row>
    <row r="40" spans="1:62" x14ac:dyDescent="0.35">
      <c r="A40" t="s">
        <v>247</v>
      </c>
      <c r="B40" t="s">
        <v>247</v>
      </c>
      <c r="C40" t="s">
        <v>223</v>
      </c>
      <c r="D40" t="s">
        <v>686</v>
      </c>
      <c r="E40" t="s">
        <v>248</v>
      </c>
      <c r="F40" t="s">
        <v>687</v>
      </c>
      <c r="G40" t="s">
        <v>24</v>
      </c>
      <c r="H40" t="s">
        <v>249</v>
      </c>
      <c r="I40" t="s">
        <v>244</v>
      </c>
      <c r="J40">
        <v>7</v>
      </c>
      <c r="L40">
        <v>20</v>
      </c>
      <c r="M40">
        <v>4.9000000000000004</v>
      </c>
      <c r="N40">
        <v>5.6</v>
      </c>
      <c r="P40">
        <v>3</v>
      </c>
      <c r="Q40">
        <v>4.0999999999999996</v>
      </c>
      <c r="R40">
        <v>8.3000000000000007</v>
      </c>
      <c r="S40">
        <v>7.5</v>
      </c>
      <c r="T40">
        <v>4.5999999999999996</v>
      </c>
      <c r="U40">
        <v>5.9</v>
      </c>
      <c r="V40">
        <v>8.8000000000000007</v>
      </c>
      <c r="W40">
        <v>8.3000000000000007</v>
      </c>
      <c r="X40">
        <v>8.8000000000000007</v>
      </c>
      <c r="Y40">
        <v>8.4</v>
      </c>
      <c r="AA40">
        <v>6.7</v>
      </c>
      <c r="AB40">
        <v>7.4</v>
      </c>
      <c r="AC40" t="s">
        <v>26</v>
      </c>
      <c r="AD40">
        <v>0</v>
      </c>
      <c r="AE40">
        <v>9.5</v>
      </c>
      <c r="AF40">
        <v>9.5</v>
      </c>
      <c r="AG40">
        <v>9.5</v>
      </c>
      <c r="AH40">
        <v>8.5</v>
      </c>
      <c r="AI40">
        <v>7.5</v>
      </c>
      <c r="AJ40">
        <v>6.7</v>
      </c>
      <c r="AL40">
        <v>7.3</v>
      </c>
      <c r="AM40">
        <v>6.7</v>
      </c>
      <c r="AN40">
        <v>7</v>
      </c>
      <c r="AO40">
        <v>7</v>
      </c>
      <c r="AP40">
        <v>8</v>
      </c>
      <c r="AQ40">
        <v>7.5</v>
      </c>
      <c r="AR40" t="s">
        <v>26</v>
      </c>
      <c r="AS40">
        <v>8.5</v>
      </c>
      <c r="AU40" t="s">
        <v>26</v>
      </c>
      <c r="AV40">
        <v>10</v>
      </c>
      <c r="AW40" t="s">
        <v>26</v>
      </c>
      <c r="AX40">
        <v>10</v>
      </c>
      <c r="AY40" t="s">
        <v>26</v>
      </c>
      <c r="AZ40">
        <v>10</v>
      </c>
      <c r="BA40" t="s">
        <v>26</v>
      </c>
      <c r="BB40">
        <v>10</v>
      </c>
      <c r="BC40" t="s">
        <v>26</v>
      </c>
      <c r="BD40">
        <v>10</v>
      </c>
      <c r="BE40" t="s">
        <v>26</v>
      </c>
      <c r="BF40">
        <v>10</v>
      </c>
      <c r="BG40" t="s">
        <v>26</v>
      </c>
      <c r="BH40">
        <v>10</v>
      </c>
      <c r="BI40" t="s">
        <v>26</v>
      </c>
      <c r="BJ40">
        <v>10</v>
      </c>
    </row>
    <row r="41" spans="1:62" x14ac:dyDescent="0.35">
      <c r="A41" t="s">
        <v>379</v>
      </c>
      <c r="B41" t="s">
        <v>379</v>
      </c>
      <c r="C41" t="s">
        <v>366</v>
      </c>
      <c r="D41" t="s">
        <v>688</v>
      </c>
      <c r="E41" t="s">
        <v>380</v>
      </c>
      <c r="F41" t="s">
        <v>689</v>
      </c>
      <c r="G41" t="s">
        <v>24</v>
      </c>
      <c r="H41" t="s">
        <v>23</v>
      </c>
      <c r="I41" t="s">
        <v>275</v>
      </c>
      <c r="J41">
        <v>8</v>
      </c>
      <c r="K41" t="s">
        <v>662</v>
      </c>
      <c r="L41">
        <v>3</v>
      </c>
      <c r="M41">
        <v>7.5</v>
      </c>
      <c r="N41">
        <v>3.35</v>
      </c>
      <c r="O41" t="s">
        <v>662</v>
      </c>
      <c r="P41">
        <v>7.6</v>
      </c>
      <c r="Q41">
        <v>0</v>
      </c>
      <c r="R41">
        <v>6.6</v>
      </c>
      <c r="S41">
        <v>7.1</v>
      </c>
      <c r="T41">
        <v>7.4</v>
      </c>
      <c r="U41">
        <v>7.1</v>
      </c>
      <c r="V41">
        <v>8.8000000000000007</v>
      </c>
      <c r="W41">
        <v>8.9</v>
      </c>
      <c r="X41">
        <v>9.5</v>
      </c>
      <c r="Y41">
        <v>8.6</v>
      </c>
      <c r="Z41" t="s">
        <v>662</v>
      </c>
      <c r="AA41">
        <v>9.5</v>
      </c>
      <c r="AB41">
        <v>8.6</v>
      </c>
      <c r="AC41" t="s">
        <v>26</v>
      </c>
      <c r="AD41">
        <v>0</v>
      </c>
      <c r="AE41">
        <v>10</v>
      </c>
      <c r="AF41">
        <v>8.9</v>
      </c>
      <c r="AG41">
        <v>9.3000000000000007</v>
      </c>
      <c r="AH41">
        <v>8.6999999999999993</v>
      </c>
      <c r="AI41">
        <v>5.9</v>
      </c>
      <c r="AJ41">
        <v>6.4</v>
      </c>
      <c r="AL41">
        <v>4.7</v>
      </c>
      <c r="AM41">
        <v>5.3</v>
      </c>
      <c r="AN41">
        <v>6</v>
      </c>
      <c r="AO41">
        <v>7</v>
      </c>
      <c r="AP41">
        <v>7</v>
      </c>
      <c r="AQ41">
        <v>7.5</v>
      </c>
      <c r="AR41">
        <v>9.1999999999999993</v>
      </c>
      <c r="AS41">
        <v>8.3000000000000007</v>
      </c>
      <c r="AT41" t="s">
        <v>602</v>
      </c>
      <c r="AU41">
        <v>10</v>
      </c>
      <c r="AV41">
        <v>10</v>
      </c>
      <c r="AW41">
        <v>10</v>
      </c>
      <c r="AX41">
        <v>10</v>
      </c>
      <c r="AY41">
        <v>9</v>
      </c>
      <c r="AZ41">
        <v>10</v>
      </c>
      <c r="BA41">
        <v>9</v>
      </c>
      <c r="BB41">
        <v>10</v>
      </c>
      <c r="BC41">
        <v>10</v>
      </c>
      <c r="BD41">
        <v>10</v>
      </c>
      <c r="BE41">
        <v>9</v>
      </c>
      <c r="BF41">
        <v>10</v>
      </c>
      <c r="BG41">
        <v>10</v>
      </c>
      <c r="BH41">
        <v>10</v>
      </c>
      <c r="BI41">
        <v>10</v>
      </c>
      <c r="BJ41">
        <v>10</v>
      </c>
    </row>
    <row r="42" spans="1:62" x14ac:dyDescent="0.35">
      <c r="A42" t="s">
        <v>40</v>
      </c>
      <c r="B42" t="s">
        <v>40</v>
      </c>
      <c r="C42" t="s">
        <v>21</v>
      </c>
      <c r="D42" t="s">
        <v>690</v>
      </c>
      <c r="E42" t="s">
        <v>41</v>
      </c>
      <c r="F42" t="s">
        <v>691</v>
      </c>
      <c r="G42" t="s">
        <v>24</v>
      </c>
      <c r="H42" t="s">
        <v>23</v>
      </c>
      <c r="I42" t="s">
        <v>42</v>
      </c>
      <c r="J42">
        <v>5.9</v>
      </c>
      <c r="L42">
        <v>18</v>
      </c>
      <c r="M42">
        <v>3.9</v>
      </c>
      <c r="N42">
        <v>3.6</v>
      </c>
      <c r="P42">
        <v>4.3</v>
      </c>
      <c r="Q42">
        <v>1</v>
      </c>
      <c r="R42">
        <v>0</v>
      </c>
      <c r="S42">
        <v>7.1</v>
      </c>
      <c r="T42">
        <v>5.0999999999999996</v>
      </c>
      <c r="U42">
        <v>6.3</v>
      </c>
      <c r="V42">
        <v>7.2</v>
      </c>
      <c r="W42">
        <v>8.9</v>
      </c>
      <c r="X42">
        <v>7.6</v>
      </c>
      <c r="Y42">
        <v>7.8</v>
      </c>
      <c r="AA42">
        <v>8.9</v>
      </c>
      <c r="AB42">
        <v>7.6</v>
      </c>
      <c r="AC42">
        <v>6.6</v>
      </c>
      <c r="AD42">
        <v>7.5</v>
      </c>
      <c r="AE42">
        <v>7.3</v>
      </c>
      <c r="AF42">
        <v>7.4</v>
      </c>
      <c r="AG42">
        <v>7.9</v>
      </c>
      <c r="AH42">
        <v>8.6999999999999993</v>
      </c>
      <c r="AI42">
        <v>6.3</v>
      </c>
      <c r="AJ42">
        <v>7.1</v>
      </c>
      <c r="AL42">
        <v>4.7</v>
      </c>
      <c r="AM42">
        <v>6.7</v>
      </c>
      <c r="AN42">
        <v>6</v>
      </c>
      <c r="AO42">
        <v>6</v>
      </c>
      <c r="AP42">
        <v>8</v>
      </c>
      <c r="AQ42">
        <v>7.5</v>
      </c>
      <c r="AR42">
        <v>8.5</v>
      </c>
      <c r="AS42">
        <v>8.3000000000000007</v>
      </c>
      <c r="AT42" t="s">
        <v>605</v>
      </c>
      <c r="AU42">
        <v>10</v>
      </c>
      <c r="AV42">
        <v>10</v>
      </c>
      <c r="AW42">
        <v>10</v>
      </c>
      <c r="AX42">
        <v>10</v>
      </c>
      <c r="AY42">
        <v>10</v>
      </c>
      <c r="AZ42">
        <v>10</v>
      </c>
      <c r="BA42">
        <v>10</v>
      </c>
      <c r="BB42">
        <v>10</v>
      </c>
      <c r="BC42">
        <v>10</v>
      </c>
      <c r="BD42">
        <v>10</v>
      </c>
      <c r="BE42">
        <v>10</v>
      </c>
      <c r="BF42">
        <v>10</v>
      </c>
      <c r="BG42">
        <v>10</v>
      </c>
      <c r="BH42">
        <v>10</v>
      </c>
      <c r="BI42">
        <v>10</v>
      </c>
      <c r="BJ42">
        <v>10</v>
      </c>
    </row>
    <row r="43" spans="1:62" x14ac:dyDescent="0.35">
      <c r="A43" t="s">
        <v>250</v>
      </c>
      <c r="B43" t="s">
        <v>250</v>
      </c>
      <c r="C43" t="s">
        <v>223</v>
      </c>
      <c r="D43" t="s">
        <v>692</v>
      </c>
      <c r="E43" t="s">
        <v>251</v>
      </c>
      <c r="F43" t="s">
        <v>693</v>
      </c>
      <c r="G43" t="s">
        <v>24</v>
      </c>
      <c r="H43" t="s">
        <v>23</v>
      </c>
      <c r="I43" t="s">
        <v>48</v>
      </c>
      <c r="J43">
        <v>6.7</v>
      </c>
      <c r="L43">
        <v>25</v>
      </c>
      <c r="M43">
        <v>5.4</v>
      </c>
      <c r="N43">
        <v>5.6</v>
      </c>
      <c r="P43">
        <v>4.9000000000000004</v>
      </c>
      <c r="Q43">
        <v>4.0999999999999996</v>
      </c>
      <c r="R43">
        <v>5.0999999999999996</v>
      </c>
      <c r="S43">
        <v>7.5</v>
      </c>
      <c r="T43">
        <v>5.9</v>
      </c>
      <c r="U43">
        <v>5.9</v>
      </c>
      <c r="V43">
        <v>7.5</v>
      </c>
      <c r="W43">
        <v>8.3000000000000007</v>
      </c>
      <c r="X43">
        <v>8</v>
      </c>
      <c r="Y43">
        <v>8.4</v>
      </c>
      <c r="AA43">
        <v>7.8</v>
      </c>
      <c r="AB43">
        <v>7.4</v>
      </c>
      <c r="AC43" t="s">
        <v>26</v>
      </c>
      <c r="AD43">
        <v>0</v>
      </c>
      <c r="AE43">
        <v>9.6</v>
      </c>
      <c r="AF43">
        <v>9.5</v>
      </c>
      <c r="AG43">
        <v>7</v>
      </c>
      <c r="AH43">
        <v>8.5</v>
      </c>
      <c r="AI43">
        <v>6.7</v>
      </c>
      <c r="AJ43">
        <v>6.7</v>
      </c>
      <c r="AL43">
        <v>6.7</v>
      </c>
      <c r="AM43">
        <v>6.7</v>
      </c>
      <c r="AN43">
        <v>8</v>
      </c>
      <c r="AO43">
        <v>7</v>
      </c>
      <c r="AP43">
        <v>6</v>
      </c>
      <c r="AQ43">
        <v>7.5</v>
      </c>
      <c r="AR43">
        <v>7.4</v>
      </c>
      <c r="AS43">
        <v>8.5</v>
      </c>
      <c r="AU43">
        <v>10</v>
      </c>
      <c r="AV43">
        <v>10</v>
      </c>
      <c r="AW43">
        <v>8</v>
      </c>
      <c r="AX43">
        <v>10</v>
      </c>
      <c r="AY43">
        <v>8</v>
      </c>
      <c r="AZ43">
        <v>10</v>
      </c>
      <c r="BA43">
        <v>10</v>
      </c>
      <c r="BB43">
        <v>10</v>
      </c>
      <c r="BC43">
        <v>8</v>
      </c>
      <c r="BD43">
        <v>10</v>
      </c>
      <c r="BE43">
        <v>8</v>
      </c>
      <c r="BF43">
        <v>10</v>
      </c>
      <c r="BG43">
        <v>8</v>
      </c>
      <c r="BH43">
        <v>10</v>
      </c>
      <c r="BI43">
        <v>8</v>
      </c>
      <c r="BJ43">
        <v>10</v>
      </c>
    </row>
    <row r="44" spans="1:62" x14ac:dyDescent="0.35">
      <c r="A44" t="s">
        <v>215</v>
      </c>
      <c r="B44" t="s">
        <v>215</v>
      </c>
      <c r="C44" t="s">
        <v>135</v>
      </c>
      <c r="D44" t="s">
        <v>694</v>
      </c>
      <c r="E44" t="s">
        <v>216</v>
      </c>
      <c r="F44" t="s">
        <v>695</v>
      </c>
      <c r="G44" t="s">
        <v>39</v>
      </c>
      <c r="H44" t="s">
        <v>23</v>
      </c>
      <c r="I44" t="s">
        <v>91</v>
      </c>
      <c r="J44">
        <v>5.7</v>
      </c>
      <c r="L44">
        <v>28</v>
      </c>
      <c r="M44">
        <v>3</v>
      </c>
      <c r="N44">
        <v>4.9000000000000004</v>
      </c>
      <c r="P44">
        <v>0</v>
      </c>
      <c r="Q44">
        <v>3.2</v>
      </c>
      <c r="R44">
        <v>5.3</v>
      </c>
      <c r="S44">
        <v>6</v>
      </c>
      <c r="T44">
        <v>7.3</v>
      </c>
      <c r="U44">
        <v>6.8</v>
      </c>
      <c r="V44">
        <v>8.6999999999999993</v>
      </c>
      <c r="W44">
        <v>8.5</v>
      </c>
      <c r="X44">
        <v>7.8</v>
      </c>
      <c r="Y44">
        <v>8.1999999999999993</v>
      </c>
      <c r="AA44">
        <v>7.9</v>
      </c>
      <c r="AB44">
        <v>7.3</v>
      </c>
      <c r="AC44">
        <v>7.6</v>
      </c>
      <c r="AD44">
        <v>8.6</v>
      </c>
      <c r="AE44">
        <v>8.8000000000000007</v>
      </c>
      <c r="AF44">
        <v>9.4</v>
      </c>
      <c r="AG44">
        <v>7.5</v>
      </c>
      <c r="AH44">
        <v>8.1999999999999993</v>
      </c>
      <c r="AI44">
        <v>6.6</v>
      </c>
      <c r="AJ44">
        <v>7.1</v>
      </c>
      <c r="AL44">
        <v>6</v>
      </c>
      <c r="AM44">
        <v>7.3</v>
      </c>
      <c r="AN44">
        <v>5</v>
      </c>
      <c r="AO44">
        <v>7</v>
      </c>
      <c r="AP44">
        <v>8</v>
      </c>
      <c r="AQ44">
        <v>8</v>
      </c>
      <c r="AR44">
        <v>9.5</v>
      </c>
      <c r="AS44">
        <v>8.5</v>
      </c>
      <c r="AT44" t="s">
        <v>608</v>
      </c>
      <c r="AU44">
        <v>10</v>
      </c>
      <c r="AV44">
        <v>10</v>
      </c>
      <c r="AW44">
        <v>10</v>
      </c>
      <c r="AX44">
        <v>10</v>
      </c>
      <c r="AY44">
        <v>10</v>
      </c>
      <c r="AZ44">
        <v>10</v>
      </c>
      <c r="BA44">
        <v>10</v>
      </c>
      <c r="BB44">
        <v>10</v>
      </c>
      <c r="BC44">
        <v>10</v>
      </c>
      <c r="BD44">
        <v>10</v>
      </c>
      <c r="BE44">
        <v>10</v>
      </c>
      <c r="BF44">
        <v>10</v>
      </c>
      <c r="BG44">
        <v>10</v>
      </c>
      <c r="BH44">
        <v>10</v>
      </c>
      <c r="BI44">
        <v>10</v>
      </c>
      <c r="BJ44">
        <v>10</v>
      </c>
    </row>
    <row r="45" spans="1:62" x14ac:dyDescent="0.35">
      <c r="A45" t="s">
        <v>252</v>
      </c>
      <c r="B45" t="s">
        <v>252</v>
      </c>
      <c r="C45" t="s">
        <v>223</v>
      </c>
      <c r="D45" t="s">
        <v>696</v>
      </c>
      <c r="E45" t="s">
        <v>253</v>
      </c>
      <c r="F45" t="s">
        <v>697</v>
      </c>
      <c r="G45" t="s">
        <v>24</v>
      </c>
      <c r="H45" t="s">
        <v>23</v>
      </c>
      <c r="I45" t="s">
        <v>42</v>
      </c>
      <c r="J45">
        <v>5.6</v>
      </c>
      <c r="L45">
        <v>33</v>
      </c>
      <c r="M45">
        <v>1.7</v>
      </c>
      <c r="N45">
        <v>5.6</v>
      </c>
      <c r="P45">
        <v>0</v>
      </c>
      <c r="Q45">
        <v>4.0999999999999996</v>
      </c>
      <c r="R45">
        <v>6.8</v>
      </c>
      <c r="S45">
        <v>7.5</v>
      </c>
      <c r="T45">
        <v>0</v>
      </c>
      <c r="U45">
        <v>5.9</v>
      </c>
      <c r="V45">
        <v>7.6</v>
      </c>
      <c r="W45">
        <v>8.3000000000000007</v>
      </c>
      <c r="X45">
        <v>9.3000000000000007</v>
      </c>
      <c r="Y45">
        <v>8.4</v>
      </c>
      <c r="Z45" t="s">
        <v>608</v>
      </c>
      <c r="AA45">
        <v>8.6</v>
      </c>
      <c r="AB45">
        <v>7.4</v>
      </c>
      <c r="AC45" t="s">
        <v>26</v>
      </c>
      <c r="AD45">
        <v>0</v>
      </c>
      <c r="AE45">
        <v>9.6</v>
      </c>
      <c r="AF45">
        <v>9.5</v>
      </c>
      <c r="AG45">
        <v>9.5</v>
      </c>
      <c r="AH45">
        <v>8.5</v>
      </c>
      <c r="AI45">
        <v>6.1</v>
      </c>
      <c r="AJ45">
        <v>6.7</v>
      </c>
      <c r="AL45">
        <v>5.3</v>
      </c>
      <c r="AM45">
        <v>6.7</v>
      </c>
      <c r="AN45">
        <v>6</v>
      </c>
      <c r="AO45">
        <v>7</v>
      </c>
      <c r="AP45">
        <v>7</v>
      </c>
      <c r="AQ45">
        <v>7.5</v>
      </c>
      <c r="AR45" t="s">
        <v>26</v>
      </c>
      <c r="AS45">
        <v>8.5</v>
      </c>
      <c r="AU45" t="s">
        <v>26</v>
      </c>
      <c r="AV45">
        <v>10</v>
      </c>
      <c r="AW45" t="s">
        <v>26</v>
      </c>
      <c r="AX45">
        <v>10</v>
      </c>
      <c r="AY45" t="s">
        <v>26</v>
      </c>
      <c r="AZ45">
        <v>10</v>
      </c>
      <c r="BA45" t="s">
        <v>26</v>
      </c>
      <c r="BB45">
        <v>10</v>
      </c>
      <c r="BC45" t="s">
        <v>26</v>
      </c>
      <c r="BD45">
        <v>10</v>
      </c>
      <c r="BE45" t="s">
        <v>26</v>
      </c>
      <c r="BF45">
        <v>10</v>
      </c>
      <c r="BG45" t="s">
        <v>26</v>
      </c>
      <c r="BH45">
        <v>10</v>
      </c>
      <c r="BI45" t="s">
        <v>26</v>
      </c>
      <c r="BJ45">
        <v>10</v>
      </c>
    </row>
    <row r="46" spans="1:62" x14ac:dyDescent="0.35">
      <c r="A46" t="s">
        <v>76</v>
      </c>
      <c r="B46" t="s">
        <v>76</v>
      </c>
      <c r="C46" t="s">
        <v>21</v>
      </c>
      <c r="D46" t="s">
        <v>698</v>
      </c>
      <c r="E46" t="s">
        <v>77</v>
      </c>
      <c r="F46" t="s">
        <v>699</v>
      </c>
      <c r="G46" t="s">
        <v>39</v>
      </c>
      <c r="H46" t="s">
        <v>78</v>
      </c>
      <c r="I46" t="s">
        <v>79</v>
      </c>
      <c r="J46">
        <v>5.7</v>
      </c>
      <c r="L46">
        <v>22</v>
      </c>
      <c r="M46">
        <v>3.1</v>
      </c>
      <c r="N46">
        <v>3.6</v>
      </c>
      <c r="P46">
        <v>0</v>
      </c>
      <c r="Q46">
        <v>1</v>
      </c>
      <c r="R46">
        <v>5.3</v>
      </c>
      <c r="S46">
        <v>7.1</v>
      </c>
      <c r="T46">
        <v>7.4</v>
      </c>
      <c r="U46">
        <v>6.3</v>
      </c>
      <c r="V46">
        <v>9.4</v>
      </c>
      <c r="W46">
        <v>8.9</v>
      </c>
      <c r="X46">
        <v>8.6999999999999993</v>
      </c>
      <c r="Y46">
        <v>7.8</v>
      </c>
      <c r="Z46" t="s">
        <v>608</v>
      </c>
      <c r="AA46">
        <v>0</v>
      </c>
      <c r="AB46">
        <v>7.6</v>
      </c>
      <c r="AC46">
        <v>0</v>
      </c>
      <c r="AD46">
        <v>7.5</v>
      </c>
      <c r="AE46">
        <v>8.6999999999999993</v>
      </c>
      <c r="AF46">
        <v>7.4</v>
      </c>
      <c r="AG46">
        <v>0</v>
      </c>
      <c r="AH46">
        <v>8.6999999999999993</v>
      </c>
      <c r="AI46">
        <v>5.0999999999999996</v>
      </c>
      <c r="AJ46">
        <v>7.1</v>
      </c>
      <c r="AL46">
        <v>4.7</v>
      </c>
      <c r="AM46">
        <v>6.7</v>
      </c>
      <c r="AN46">
        <v>6</v>
      </c>
      <c r="AO46">
        <v>6</v>
      </c>
      <c r="AP46">
        <v>5</v>
      </c>
      <c r="AQ46">
        <v>7.5</v>
      </c>
      <c r="AR46" t="s">
        <v>26</v>
      </c>
      <c r="AS46">
        <v>8.3000000000000007</v>
      </c>
      <c r="AU46" t="s">
        <v>26</v>
      </c>
      <c r="AV46">
        <v>10</v>
      </c>
      <c r="AW46" t="s">
        <v>26</v>
      </c>
      <c r="AX46">
        <v>10</v>
      </c>
      <c r="AY46" t="s">
        <v>26</v>
      </c>
      <c r="AZ46">
        <v>10</v>
      </c>
      <c r="BA46" t="s">
        <v>26</v>
      </c>
      <c r="BB46">
        <v>10</v>
      </c>
      <c r="BC46" t="s">
        <v>26</v>
      </c>
      <c r="BD46">
        <v>10</v>
      </c>
      <c r="BE46" t="s">
        <v>26</v>
      </c>
      <c r="BF46">
        <v>10</v>
      </c>
      <c r="BG46" t="s">
        <v>26</v>
      </c>
      <c r="BH46">
        <v>10</v>
      </c>
      <c r="BI46" t="s">
        <v>26</v>
      </c>
      <c r="BJ46">
        <v>10</v>
      </c>
    </row>
    <row r="47" spans="1:62" x14ac:dyDescent="0.35">
      <c r="A47" t="s">
        <v>254</v>
      </c>
      <c r="B47" t="s">
        <v>254</v>
      </c>
      <c r="C47" t="s">
        <v>223</v>
      </c>
      <c r="D47" t="s">
        <v>700</v>
      </c>
      <c r="E47" t="s">
        <v>255</v>
      </c>
      <c r="F47" t="s">
        <v>701</v>
      </c>
      <c r="G47" t="s">
        <v>24</v>
      </c>
      <c r="H47" t="s">
        <v>23</v>
      </c>
      <c r="I47" t="s">
        <v>256</v>
      </c>
      <c r="J47">
        <v>5.3</v>
      </c>
      <c r="L47">
        <v>36</v>
      </c>
      <c r="M47">
        <v>2.2000000000000002</v>
      </c>
      <c r="N47">
        <v>5.6</v>
      </c>
      <c r="P47">
        <v>0</v>
      </c>
      <c r="Q47">
        <v>4.0999999999999996</v>
      </c>
      <c r="R47">
        <v>5.0999999999999996</v>
      </c>
      <c r="S47">
        <v>7.5</v>
      </c>
      <c r="T47">
        <v>3.6</v>
      </c>
      <c r="U47">
        <v>5.9</v>
      </c>
      <c r="V47">
        <v>6.9</v>
      </c>
      <c r="W47">
        <v>8.3000000000000007</v>
      </c>
      <c r="X47">
        <v>7.6</v>
      </c>
      <c r="Y47">
        <v>8.4</v>
      </c>
      <c r="AA47">
        <v>6.9</v>
      </c>
      <c r="AB47">
        <v>7.4</v>
      </c>
      <c r="AC47" t="s">
        <v>26</v>
      </c>
      <c r="AD47">
        <v>0</v>
      </c>
      <c r="AE47">
        <v>7.7</v>
      </c>
      <c r="AF47">
        <v>9.5</v>
      </c>
      <c r="AG47">
        <v>7</v>
      </c>
      <c r="AH47">
        <v>8.5</v>
      </c>
      <c r="AI47">
        <v>6.7</v>
      </c>
      <c r="AJ47">
        <v>6.7</v>
      </c>
      <c r="AL47">
        <v>6.7</v>
      </c>
      <c r="AM47">
        <v>6.7</v>
      </c>
      <c r="AN47">
        <v>6</v>
      </c>
      <c r="AO47">
        <v>7</v>
      </c>
      <c r="AP47" t="s">
        <v>26</v>
      </c>
      <c r="AQ47">
        <v>7.5</v>
      </c>
      <c r="AR47">
        <v>8.1</v>
      </c>
      <c r="AS47">
        <v>8.5</v>
      </c>
      <c r="AU47">
        <v>10</v>
      </c>
      <c r="AV47">
        <v>10</v>
      </c>
      <c r="AW47">
        <v>10</v>
      </c>
      <c r="AX47">
        <v>10</v>
      </c>
      <c r="AY47">
        <v>8</v>
      </c>
      <c r="AZ47">
        <v>10</v>
      </c>
      <c r="BA47">
        <v>10</v>
      </c>
      <c r="BB47">
        <v>10</v>
      </c>
      <c r="BC47">
        <v>10</v>
      </c>
      <c r="BD47">
        <v>10</v>
      </c>
      <c r="BE47">
        <v>8</v>
      </c>
      <c r="BF47">
        <v>10</v>
      </c>
      <c r="BG47">
        <v>10</v>
      </c>
      <c r="BH47">
        <v>10</v>
      </c>
      <c r="BI47">
        <v>10</v>
      </c>
      <c r="BJ47">
        <v>10</v>
      </c>
    </row>
    <row r="48" spans="1:62" x14ac:dyDescent="0.35">
      <c r="A48" t="s">
        <v>259</v>
      </c>
      <c r="B48" t="s">
        <v>259</v>
      </c>
      <c r="C48" t="s">
        <v>223</v>
      </c>
      <c r="D48" t="s">
        <v>702</v>
      </c>
      <c r="E48" t="s">
        <v>260</v>
      </c>
      <c r="F48" t="s">
        <v>703</v>
      </c>
      <c r="G48" t="s">
        <v>24</v>
      </c>
      <c r="H48" t="s">
        <v>23</v>
      </c>
      <c r="I48" t="s">
        <v>33</v>
      </c>
      <c r="J48">
        <v>6.9</v>
      </c>
      <c r="L48">
        <v>21</v>
      </c>
      <c r="M48">
        <v>6.3</v>
      </c>
      <c r="N48">
        <v>5.6</v>
      </c>
      <c r="P48">
        <v>6.1</v>
      </c>
      <c r="Q48">
        <v>4.0999999999999996</v>
      </c>
      <c r="R48">
        <v>5.8</v>
      </c>
      <c r="S48">
        <v>7.5</v>
      </c>
      <c r="T48">
        <v>6.5</v>
      </c>
      <c r="U48">
        <v>5.9</v>
      </c>
      <c r="V48">
        <v>7.9</v>
      </c>
      <c r="W48">
        <v>8.3000000000000007</v>
      </c>
      <c r="X48">
        <v>7.5</v>
      </c>
      <c r="Y48">
        <v>8.4</v>
      </c>
      <c r="AA48">
        <v>7.1</v>
      </c>
      <c r="AB48">
        <v>7.4</v>
      </c>
      <c r="AC48" t="s">
        <v>26</v>
      </c>
      <c r="AD48">
        <v>0</v>
      </c>
      <c r="AE48">
        <v>9.9</v>
      </c>
      <c r="AF48">
        <v>9.5</v>
      </c>
      <c r="AG48">
        <v>6</v>
      </c>
      <c r="AH48">
        <v>8.5</v>
      </c>
      <c r="AI48">
        <v>7.1</v>
      </c>
      <c r="AJ48">
        <v>6.7</v>
      </c>
      <c r="AL48">
        <v>7.3</v>
      </c>
      <c r="AM48">
        <v>6.7</v>
      </c>
      <c r="AN48">
        <v>7</v>
      </c>
      <c r="AO48">
        <v>7</v>
      </c>
      <c r="AP48">
        <v>7</v>
      </c>
      <c r="AQ48">
        <v>7.5</v>
      </c>
      <c r="AR48" t="s">
        <v>26</v>
      </c>
      <c r="AS48">
        <v>8.5</v>
      </c>
      <c r="AU48" t="s">
        <v>26</v>
      </c>
      <c r="AV48">
        <v>10</v>
      </c>
      <c r="AW48" t="s">
        <v>26</v>
      </c>
      <c r="AX48">
        <v>10</v>
      </c>
      <c r="AY48" t="s">
        <v>26</v>
      </c>
      <c r="AZ48">
        <v>10</v>
      </c>
      <c r="BA48" t="s">
        <v>26</v>
      </c>
      <c r="BB48">
        <v>10</v>
      </c>
      <c r="BC48" t="s">
        <v>26</v>
      </c>
      <c r="BD48">
        <v>10</v>
      </c>
      <c r="BE48" t="s">
        <v>26</v>
      </c>
      <c r="BF48">
        <v>10</v>
      </c>
      <c r="BG48" t="s">
        <v>26</v>
      </c>
      <c r="BH48">
        <v>10</v>
      </c>
      <c r="BI48" t="s">
        <v>26</v>
      </c>
      <c r="BJ48">
        <v>10</v>
      </c>
    </row>
    <row r="49" spans="1:62" x14ac:dyDescent="0.35">
      <c r="A49" t="s">
        <v>159</v>
      </c>
      <c r="B49" t="s">
        <v>159</v>
      </c>
      <c r="C49" t="s">
        <v>135</v>
      </c>
      <c r="D49" t="s">
        <v>704</v>
      </c>
      <c r="E49" t="s">
        <v>160</v>
      </c>
      <c r="F49" t="s">
        <v>705</v>
      </c>
      <c r="G49" t="s">
        <v>24</v>
      </c>
      <c r="H49" t="s">
        <v>23</v>
      </c>
      <c r="I49" t="s">
        <v>25</v>
      </c>
      <c r="J49">
        <v>6.7</v>
      </c>
      <c r="L49">
        <v>19</v>
      </c>
      <c r="M49">
        <v>4.9000000000000004</v>
      </c>
      <c r="N49">
        <v>4.9000000000000004</v>
      </c>
      <c r="P49">
        <v>3.7</v>
      </c>
      <c r="Q49">
        <v>3.2</v>
      </c>
      <c r="R49">
        <v>4.7</v>
      </c>
      <c r="S49">
        <v>6</v>
      </c>
      <c r="T49">
        <v>6.8</v>
      </c>
      <c r="U49">
        <v>6.8</v>
      </c>
      <c r="V49">
        <v>8.4</v>
      </c>
      <c r="W49">
        <v>8.5</v>
      </c>
      <c r="X49">
        <v>8.5</v>
      </c>
      <c r="Y49">
        <v>8.1999999999999993</v>
      </c>
      <c r="AA49">
        <v>7.3</v>
      </c>
      <c r="AB49">
        <v>7.3</v>
      </c>
      <c r="AC49">
        <v>9.3000000000000007</v>
      </c>
      <c r="AD49">
        <v>8.6</v>
      </c>
      <c r="AE49">
        <v>8.8000000000000007</v>
      </c>
      <c r="AF49">
        <v>9.4</v>
      </c>
      <c r="AG49">
        <v>8.1999999999999993</v>
      </c>
      <c r="AH49">
        <v>8.1999999999999993</v>
      </c>
      <c r="AI49">
        <v>6.7</v>
      </c>
      <c r="AJ49">
        <v>7.1</v>
      </c>
      <c r="AL49" t="s">
        <v>26</v>
      </c>
      <c r="AM49">
        <v>7.3</v>
      </c>
      <c r="AN49" t="s">
        <v>26</v>
      </c>
      <c r="AO49">
        <v>7</v>
      </c>
      <c r="AP49" t="s">
        <v>26</v>
      </c>
      <c r="AQ49">
        <v>8</v>
      </c>
      <c r="AR49">
        <v>8.5</v>
      </c>
      <c r="AS49">
        <v>8.5</v>
      </c>
      <c r="AU49">
        <v>10</v>
      </c>
      <c r="AV49">
        <v>10</v>
      </c>
      <c r="AW49">
        <v>10</v>
      </c>
      <c r="AX49">
        <v>10</v>
      </c>
      <c r="AY49">
        <v>10</v>
      </c>
      <c r="AZ49">
        <v>10</v>
      </c>
      <c r="BA49">
        <v>10</v>
      </c>
      <c r="BB49">
        <v>10</v>
      </c>
      <c r="BC49">
        <v>10</v>
      </c>
      <c r="BD49">
        <v>10</v>
      </c>
      <c r="BE49">
        <v>10</v>
      </c>
      <c r="BF49">
        <v>10</v>
      </c>
      <c r="BG49">
        <v>10</v>
      </c>
      <c r="BH49">
        <v>10</v>
      </c>
      <c r="BI49">
        <v>10</v>
      </c>
      <c r="BJ49">
        <v>10</v>
      </c>
    </row>
    <row r="50" spans="1:62" x14ac:dyDescent="0.35">
      <c r="A50" t="s">
        <v>201</v>
      </c>
      <c r="B50" t="s">
        <v>201</v>
      </c>
      <c r="C50" t="s">
        <v>135</v>
      </c>
      <c r="D50" t="s">
        <v>706</v>
      </c>
      <c r="E50" t="s">
        <v>202</v>
      </c>
      <c r="F50" t="s">
        <v>707</v>
      </c>
      <c r="G50" t="s">
        <v>57</v>
      </c>
      <c r="H50" t="s">
        <v>23</v>
      </c>
      <c r="I50" t="s">
        <v>25</v>
      </c>
      <c r="J50">
        <v>5.6</v>
      </c>
      <c r="L50">
        <v>31</v>
      </c>
      <c r="M50">
        <v>2.7</v>
      </c>
      <c r="N50">
        <v>4.9000000000000004</v>
      </c>
      <c r="P50">
        <v>0</v>
      </c>
      <c r="Q50">
        <v>3.2</v>
      </c>
      <c r="R50">
        <v>5.8</v>
      </c>
      <c r="S50">
        <v>6</v>
      </c>
      <c r="T50">
        <v>4.7</v>
      </c>
      <c r="U50">
        <v>6.8</v>
      </c>
      <c r="V50">
        <v>7.9</v>
      </c>
      <c r="W50">
        <v>8.5</v>
      </c>
      <c r="X50">
        <v>7.7</v>
      </c>
      <c r="Y50">
        <v>8.1999999999999993</v>
      </c>
      <c r="AA50">
        <v>6.1</v>
      </c>
      <c r="AB50">
        <v>7.3</v>
      </c>
      <c r="AC50">
        <v>7.9</v>
      </c>
      <c r="AD50">
        <v>8.6</v>
      </c>
      <c r="AE50">
        <v>9.6999999999999993</v>
      </c>
      <c r="AF50">
        <v>9.4</v>
      </c>
      <c r="AG50">
        <v>7.5</v>
      </c>
      <c r="AH50">
        <v>8.1999999999999993</v>
      </c>
      <c r="AI50">
        <v>7.1</v>
      </c>
      <c r="AJ50">
        <v>7.1</v>
      </c>
      <c r="AL50">
        <v>7.3</v>
      </c>
      <c r="AM50">
        <v>7.3</v>
      </c>
      <c r="AN50">
        <v>7</v>
      </c>
      <c r="AO50">
        <v>7</v>
      </c>
      <c r="AP50" t="s">
        <v>26</v>
      </c>
      <c r="AQ50">
        <v>8</v>
      </c>
      <c r="AR50" t="s">
        <v>26</v>
      </c>
      <c r="AS50">
        <v>8.5</v>
      </c>
      <c r="AU50" t="s">
        <v>26</v>
      </c>
      <c r="AV50">
        <v>10</v>
      </c>
      <c r="AW50" t="s">
        <v>26</v>
      </c>
      <c r="AX50">
        <v>10</v>
      </c>
      <c r="AY50" t="s">
        <v>26</v>
      </c>
      <c r="AZ50">
        <v>10</v>
      </c>
      <c r="BA50" t="s">
        <v>26</v>
      </c>
      <c r="BB50">
        <v>10</v>
      </c>
      <c r="BC50" t="s">
        <v>26</v>
      </c>
      <c r="BD50">
        <v>10</v>
      </c>
      <c r="BE50" t="s">
        <v>26</v>
      </c>
      <c r="BF50">
        <v>10</v>
      </c>
      <c r="BG50" t="s">
        <v>26</v>
      </c>
      <c r="BH50">
        <v>10</v>
      </c>
      <c r="BI50" t="s">
        <v>26</v>
      </c>
      <c r="BJ50">
        <v>10</v>
      </c>
    </row>
    <row r="51" spans="1:62" x14ac:dyDescent="0.35">
      <c r="A51" t="s">
        <v>161</v>
      </c>
      <c r="B51" t="s">
        <v>161</v>
      </c>
      <c r="C51" t="s">
        <v>135</v>
      </c>
      <c r="D51" t="s">
        <v>708</v>
      </c>
      <c r="E51" t="s">
        <v>162</v>
      </c>
      <c r="F51" t="s">
        <v>709</v>
      </c>
      <c r="G51" t="s">
        <v>24</v>
      </c>
      <c r="H51" t="s">
        <v>163</v>
      </c>
      <c r="I51" t="s">
        <v>48</v>
      </c>
      <c r="J51">
        <v>6.6</v>
      </c>
      <c r="L51">
        <v>20</v>
      </c>
      <c r="M51">
        <v>5.0999999999999996</v>
      </c>
      <c r="N51">
        <v>4.9000000000000004</v>
      </c>
      <c r="P51">
        <v>2.7</v>
      </c>
      <c r="Q51">
        <v>3.2</v>
      </c>
      <c r="R51">
        <v>8.1999999999999993</v>
      </c>
      <c r="S51">
        <v>6</v>
      </c>
      <c r="T51">
        <v>7.6</v>
      </c>
      <c r="U51">
        <v>6.8</v>
      </c>
      <c r="V51">
        <v>7.7</v>
      </c>
      <c r="W51">
        <v>8.5</v>
      </c>
      <c r="X51">
        <v>8.3000000000000007</v>
      </c>
      <c r="Y51">
        <v>8.1999999999999993</v>
      </c>
      <c r="AA51">
        <v>6.1</v>
      </c>
      <c r="AB51">
        <v>7.3</v>
      </c>
      <c r="AC51">
        <v>9.1999999999999993</v>
      </c>
      <c r="AD51">
        <v>8.6</v>
      </c>
      <c r="AE51">
        <v>9.8000000000000007</v>
      </c>
      <c r="AF51">
        <v>9.4</v>
      </c>
      <c r="AG51">
        <v>8</v>
      </c>
      <c r="AH51">
        <v>8.1999999999999993</v>
      </c>
      <c r="AI51">
        <v>6.4</v>
      </c>
      <c r="AJ51">
        <v>7.1</v>
      </c>
      <c r="AL51">
        <v>6</v>
      </c>
      <c r="AM51">
        <v>7.3</v>
      </c>
      <c r="AN51">
        <v>6</v>
      </c>
      <c r="AO51">
        <v>7</v>
      </c>
      <c r="AP51">
        <v>7</v>
      </c>
      <c r="AQ51">
        <v>8</v>
      </c>
      <c r="AR51">
        <v>9.5</v>
      </c>
      <c r="AS51">
        <v>8.5</v>
      </c>
      <c r="AT51" t="s">
        <v>608</v>
      </c>
      <c r="AU51">
        <v>10</v>
      </c>
      <c r="AV51">
        <v>10</v>
      </c>
      <c r="AW51">
        <v>10</v>
      </c>
      <c r="AX51">
        <v>10</v>
      </c>
      <c r="AY51">
        <v>10</v>
      </c>
      <c r="AZ51">
        <v>10</v>
      </c>
      <c r="BA51">
        <v>10</v>
      </c>
      <c r="BB51">
        <v>10</v>
      </c>
      <c r="BC51">
        <v>10</v>
      </c>
      <c r="BD51">
        <v>10</v>
      </c>
      <c r="BE51">
        <v>10</v>
      </c>
      <c r="BF51">
        <v>10</v>
      </c>
      <c r="BG51">
        <v>10</v>
      </c>
      <c r="BH51">
        <v>10</v>
      </c>
      <c r="BI51">
        <v>10</v>
      </c>
      <c r="BJ51">
        <v>10</v>
      </c>
    </row>
    <row r="52" spans="1:62" x14ac:dyDescent="0.35">
      <c r="A52" t="s">
        <v>105</v>
      </c>
      <c r="B52" t="s">
        <v>105</v>
      </c>
      <c r="C52" t="s">
        <v>21</v>
      </c>
      <c r="D52" t="s">
        <v>710</v>
      </c>
      <c r="E52" t="s">
        <v>106</v>
      </c>
      <c r="F52" t="s">
        <v>711</v>
      </c>
      <c r="G52" t="s">
        <v>24</v>
      </c>
      <c r="H52" t="s">
        <v>107</v>
      </c>
      <c r="I52" t="s">
        <v>64</v>
      </c>
      <c r="J52">
        <v>5.9</v>
      </c>
      <c r="L52">
        <v>15</v>
      </c>
      <c r="M52">
        <v>3.4</v>
      </c>
      <c r="N52">
        <v>3.6</v>
      </c>
      <c r="P52">
        <v>0</v>
      </c>
      <c r="Q52">
        <v>1</v>
      </c>
      <c r="R52">
        <v>6.6</v>
      </c>
      <c r="S52">
        <v>7.1</v>
      </c>
      <c r="T52">
        <v>8.1</v>
      </c>
      <c r="U52">
        <v>6.3</v>
      </c>
      <c r="V52">
        <v>8.6999999999999993</v>
      </c>
      <c r="W52">
        <v>8.9</v>
      </c>
      <c r="X52">
        <v>8.4</v>
      </c>
      <c r="Y52">
        <v>7.8</v>
      </c>
      <c r="Z52" t="s">
        <v>605</v>
      </c>
      <c r="AA52">
        <v>9.5</v>
      </c>
      <c r="AB52">
        <v>7.6</v>
      </c>
      <c r="AC52">
        <v>8.5</v>
      </c>
      <c r="AD52">
        <v>7.5</v>
      </c>
      <c r="AE52">
        <v>9.8000000000000007</v>
      </c>
      <c r="AF52">
        <v>7.4</v>
      </c>
      <c r="AG52">
        <v>7.6</v>
      </c>
      <c r="AH52">
        <v>8.6999999999999993</v>
      </c>
      <c r="AI52">
        <v>6</v>
      </c>
      <c r="AJ52">
        <v>7.1</v>
      </c>
      <c r="AL52">
        <v>6</v>
      </c>
      <c r="AM52">
        <v>6.7</v>
      </c>
      <c r="AN52">
        <v>6</v>
      </c>
      <c r="AO52">
        <v>6</v>
      </c>
      <c r="AP52">
        <v>6</v>
      </c>
      <c r="AQ52">
        <v>7.5</v>
      </c>
      <c r="AR52" t="s">
        <v>26</v>
      </c>
      <c r="AS52">
        <v>8.3000000000000007</v>
      </c>
      <c r="AU52" t="s">
        <v>26</v>
      </c>
      <c r="AV52">
        <v>10</v>
      </c>
      <c r="AW52" t="s">
        <v>26</v>
      </c>
      <c r="AX52">
        <v>10</v>
      </c>
      <c r="AY52" t="s">
        <v>26</v>
      </c>
      <c r="AZ52">
        <v>10</v>
      </c>
      <c r="BA52" t="s">
        <v>26</v>
      </c>
      <c r="BB52">
        <v>10</v>
      </c>
      <c r="BC52" t="s">
        <v>26</v>
      </c>
      <c r="BD52">
        <v>10</v>
      </c>
      <c r="BE52" t="s">
        <v>26</v>
      </c>
      <c r="BF52">
        <v>10</v>
      </c>
      <c r="BG52" t="s">
        <v>26</v>
      </c>
      <c r="BH52">
        <v>10</v>
      </c>
      <c r="BI52" t="s">
        <v>26</v>
      </c>
      <c r="BJ52">
        <v>10</v>
      </c>
    </row>
    <row r="53" spans="1:62" x14ac:dyDescent="0.35">
      <c r="A53" t="s">
        <v>261</v>
      </c>
      <c r="B53" t="s">
        <v>261</v>
      </c>
      <c r="C53" t="s">
        <v>223</v>
      </c>
      <c r="D53" t="s">
        <v>712</v>
      </c>
      <c r="E53" t="s">
        <v>262</v>
      </c>
      <c r="F53" t="s">
        <v>713</v>
      </c>
      <c r="G53" t="s">
        <v>24</v>
      </c>
      <c r="H53" t="s">
        <v>23</v>
      </c>
      <c r="I53" t="s">
        <v>36</v>
      </c>
      <c r="J53">
        <v>9</v>
      </c>
      <c r="K53" t="s">
        <v>622</v>
      </c>
      <c r="L53">
        <v>2</v>
      </c>
      <c r="M53">
        <v>9.3000000000000007</v>
      </c>
      <c r="N53">
        <v>5.6</v>
      </c>
      <c r="O53" t="s">
        <v>622</v>
      </c>
      <c r="P53">
        <v>10</v>
      </c>
      <c r="Q53">
        <v>4.0999999999999996</v>
      </c>
      <c r="R53">
        <v>9.9</v>
      </c>
      <c r="S53">
        <v>7.5</v>
      </c>
      <c r="T53">
        <v>7.9</v>
      </c>
      <c r="U53">
        <v>5.9</v>
      </c>
      <c r="V53">
        <v>7</v>
      </c>
      <c r="W53">
        <v>8.3000000000000007</v>
      </c>
      <c r="X53">
        <v>9.1</v>
      </c>
      <c r="Y53">
        <v>8.4</v>
      </c>
      <c r="Z53" t="s">
        <v>605</v>
      </c>
      <c r="AA53">
        <v>7.4</v>
      </c>
      <c r="AB53">
        <v>7.4</v>
      </c>
      <c r="AC53" t="s">
        <v>26</v>
      </c>
      <c r="AD53">
        <v>0</v>
      </c>
      <c r="AE53">
        <v>10</v>
      </c>
      <c r="AF53">
        <v>9.5</v>
      </c>
      <c r="AG53">
        <v>9.5</v>
      </c>
      <c r="AH53">
        <v>8.5</v>
      </c>
      <c r="AI53">
        <v>7.9</v>
      </c>
      <c r="AJ53">
        <v>6.7</v>
      </c>
      <c r="AK53" t="s">
        <v>605</v>
      </c>
      <c r="AL53" t="s">
        <v>26</v>
      </c>
      <c r="AM53">
        <v>6.7</v>
      </c>
      <c r="AN53" t="s">
        <v>26</v>
      </c>
      <c r="AO53">
        <v>7</v>
      </c>
      <c r="AP53">
        <v>10</v>
      </c>
      <c r="AQ53">
        <v>7.5</v>
      </c>
      <c r="AR53">
        <v>7.6</v>
      </c>
      <c r="AS53">
        <v>8.5</v>
      </c>
      <c r="AU53">
        <v>10</v>
      </c>
      <c r="AV53">
        <v>10</v>
      </c>
      <c r="AW53">
        <v>10</v>
      </c>
      <c r="AX53">
        <v>10</v>
      </c>
      <c r="AY53">
        <v>8</v>
      </c>
      <c r="AZ53">
        <v>10</v>
      </c>
      <c r="BA53">
        <v>8</v>
      </c>
      <c r="BB53">
        <v>10</v>
      </c>
      <c r="BC53">
        <v>10</v>
      </c>
      <c r="BD53">
        <v>10</v>
      </c>
      <c r="BE53">
        <v>8</v>
      </c>
      <c r="BF53">
        <v>10</v>
      </c>
      <c r="BG53">
        <v>8</v>
      </c>
      <c r="BH53">
        <v>10</v>
      </c>
      <c r="BI53">
        <v>8</v>
      </c>
      <c r="BJ53">
        <v>10</v>
      </c>
    </row>
    <row r="54" spans="1:62" x14ac:dyDescent="0.35">
      <c r="A54" t="s">
        <v>329</v>
      </c>
      <c r="B54" t="s">
        <v>329</v>
      </c>
      <c r="C54" t="s">
        <v>319</v>
      </c>
      <c r="D54" t="s">
        <v>714</v>
      </c>
      <c r="E54" t="s">
        <v>330</v>
      </c>
      <c r="F54" t="s">
        <v>715</v>
      </c>
      <c r="G54" t="s">
        <v>24</v>
      </c>
      <c r="H54" t="s">
        <v>23</v>
      </c>
      <c r="I54" t="s">
        <v>25</v>
      </c>
      <c r="J54">
        <v>5.9</v>
      </c>
      <c r="L54">
        <v>13</v>
      </c>
      <c r="M54">
        <v>3.9</v>
      </c>
      <c r="N54">
        <v>3.75</v>
      </c>
      <c r="O54" t="s">
        <v>605</v>
      </c>
      <c r="P54">
        <v>0</v>
      </c>
      <c r="Q54">
        <v>0</v>
      </c>
      <c r="R54">
        <v>8.1999999999999993</v>
      </c>
      <c r="S54">
        <v>7.1</v>
      </c>
      <c r="T54">
        <v>9.4</v>
      </c>
      <c r="U54">
        <v>8</v>
      </c>
      <c r="V54">
        <v>8.1999999999999993</v>
      </c>
      <c r="W54">
        <v>8.3000000000000007</v>
      </c>
      <c r="X54">
        <v>7.5</v>
      </c>
      <c r="Y54">
        <v>8</v>
      </c>
      <c r="AA54">
        <v>7.4</v>
      </c>
      <c r="AB54">
        <v>7.6</v>
      </c>
      <c r="AC54" t="s">
        <v>26</v>
      </c>
      <c r="AD54">
        <v>0</v>
      </c>
      <c r="AE54">
        <v>8.5</v>
      </c>
      <c r="AF54">
        <v>8.8000000000000007</v>
      </c>
      <c r="AG54">
        <v>7</v>
      </c>
      <c r="AH54">
        <v>7.5</v>
      </c>
      <c r="AI54">
        <v>6.7</v>
      </c>
      <c r="AJ54">
        <v>6.7</v>
      </c>
      <c r="AL54">
        <v>7.3</v>
      </c>
      <c r="AM54">
        <v>6.7</v>
      </c>
      <c r="AN54">
        <v>7</v>
      </c>
      <c r="AO54">
        <v>7</v>
      </c>
      <c r="AP54">
        <v>6</v>
      </c>
      <c r="AQ54">
        <v>6</v>
      </c>
      <c r="AR54" t="s">
        <v>26</v>
      </c>
      <c r="AS54">
        <v>8.5</v>
      </c>
      <c r="AU54" t="s">
        <v>26</v>
      </c>
      <c r="AV54">
        <v>10</v>
      </c>
      <c r="AW54" t="s">
        <v>26</v>
      </c>
      <c r="AX54">
        <v>10</v>
      </c>
      <c r="AY54" t="s">
        <v>26</v>
      </c>
      <c r="AZ54">
        <v>10</v>
      </c>
      <c r="BA54" t="s">
        <v>26</v>
      </c>
      <c r="BB54">
        <v>10</v>
      </c>
      <c r="BC54" t="s">
        <v>26</v>
      </c>
      <c r="BD54">
        <v>10</v>
      </c>
      <c r="BE54" t="s">
        <v>26</v>
      </c>
      <c r="BF54">
        <v>10</v>
      </c>
      <c r="BG54" t="s">
        <v>26</v>
      </c>
      <c r="BH54">
        <v>10</v>
      </c>
      <c r="BI54" t="s">
        <v>26</v>
      </c>
      <c r="BJ54">
        <v>10</v>
      </c>
    </row>
    <row r="55" spans="1:62" x14ac:dyDescent="0.35">
      <c r="A55" t="s">
        <v>331</v>
      </c>
      <c r="B55" t="s">
        <v>331</v>
      </c>
      <c r="C55" t="s">
        <v>319</v>
      </c>
      <c r="D55" t="s">
        <v>716</v>
      </c>
      <c r="E55" t="s">
        <v>332</v>
      </c>
      <c r="F55" t="s">
        <v>717</v>
      </c>
      <c r="G55" t="s">
        <v>57</v>
      </c>
      <c r="H55" t="s">
        <v>23</v>
      </c>
      <c r="I55" t="s">
        <v>36</v>
      </c>
      <c r="J55">
        <v>5.8</v>
      </c>
      <c r="L55">
        <v>15</v>
      </c>
      <c r="M55">
        <v>3.1</v>
      </c>
      <c r="N55">
        <v>3.75</v>
      </c>
      <c r="P55">
        <v>0</v>
      </c>
      <c r="Q55">
        <v>0</v>
      </c>
      <c r="R55">
        <v>5.3</v>
      </c>
      <c r="S55">
        <v>7.1</v>
      </c>
      <c r="T55">
        <v>8</v>
      </c>
      <c r="U55">
        <v>8</v>
      </c>
      <c r="V55">
        <v>8.5</v>
      </c>
      <c r="W55">
        <v>8.3000000000000007</v>
      </c>
      <c r="X55">
        <v>6.1</v>
      </c>
      <c r="Y55">
        <v>8</v>
      </c>
      <c r="AA55">
        <v>5.9</v>
      </c>
      <c r="AB55">
        <v>7.6</v>
      </c>
      <c r="AC55" t="s">
        <v>26</v>
      </c>
      <c r="AD55">
        <v>0</v>
      </c>
      <c r="AE55">
        <v>8.6999999999999993</v>
      </c>
      <c r="AF55">
        <v>8.8000000000000007</v>
      </c>
      <c r="AG55">
        <v>5</v>
      </c>
      <c r="AH55">
        <v>7.5</v>
      </c>
      <c r="AI55">
        <v>8.1999999999999993</v>
      </c>
      <c r="AJ55">
        <v>6.7</v>
      </c>
      <c r="AK55" t="s">
        <v>622</v>
      </c>
      <c r="AL55">
        <v>10</v>
      </c>
      <c r="AM55">
        <v>6.7</v>
      </c>
      <c r="AN55">
        <v>7</v>
      </c>
      <c r="AO55">
        <v>7</v>
      </c>
      <c r="AP55" t="s">
        <v>26</v>
      </c>
      <c r="AQ55">
        <v>6</v>
      </c>
      <c r="AR55" t="s">
        <v>26</v>
      </c>
      <c r="AS55">
        <v>8.5</v>
      </c>
      <c r="AU55" t="s">
        <v>26</v>
      </c>
      <c r="AV55">
        <v>10</v>
      </c>
      <c r="AW55" t="s">
        <v>26</v>
      </c>
      <c r="AX55">
        <v>10</v>
      </c>
      <c r="AY55" t="s">
        <v>26</v>
      </c>
      <c r="AZ55">
        <v>10</v>
      </c>
      <c r="BA55" t="s">
        <v>26</v>
      </c>
      <c r="BB55">
        <v>10</v>
      </c>
      <c r="BC55" t="s">
        <v>26</v>
      </c>
      <c r="BD55">
        <v>10</v>
      </c>
      <c r="BE55" t="s">
        <v>26</v>
      </c>
      <c r="BF55">
        <v>10</v>
      </c>
      <c r="BG55" t="s">
        <v>26</v>
      </c>
      <c r="BH55">
        <v>10</v>
      </c>
      <c r="BI55" t="s">
        <v>26</v>
      </c>
      <c r="BJ55">
        <v>10</v>
      </c>
    </row>
    <row r="56" spans="1:62" x14ac:dyDescent="0.35">
      <c r="A56" t="s">
        <v>43</v>
      </c>
      <c r="B56" t="s">
        <v>43</v>
      </c>
      <c r="C56" t="s">
        <v>21</v>
      </c>
      <c r="D56" t="s">
        <v>718</v>
      </c>
      <c r="E56" t="s">
        <v>44</v>
      </c>
      <c r="F56" t="s">
        <v>719</v>
      </c>
      <c r="G56" t="s">
        <v>24</v>
      </c>
      <c r="H56" t="s">
        <v>23</v>
      </c>
      <c r="I56" t="s">
        <v>36</v>
      </c>
      <c r="J56">
        <v>7.6</v>
      </c>
      <c r="K56" t="s">
        <v>605</v>
      </c>
      <c r="L56">
        <v>7</v>
      </c>
      <c r="M56">
        <v>7.4</v>
      </c>
      <c r="N56">
        <v>3.6</v>
      </c>
      <c r="O56" t="s">
        <v>605</v>
      </c>
      <c r="P56">
        <v>6.4</v>
      </c>
      <c r="Q56">
        <v>1</v>
      </c>
      <c r="R56">
        <v>9.1999999999999993</v>
      </c>
      <c r="S56">
        <v>7.1</v>
      </c>
      <c r="T56">
        <v>7.8</v>
      </c>
      <c r="U56">
        <v>6.3</v>
      </c>
      <c r="V56">
        <v>8.4</v>
      </c>
      <c r="W56">
        <v>8.9</v>
      </c>
      <c r="X56">
        <v>8.3000000000000007</v>
      </c>
      <c r="Y56">
        <v>7.8</v>
      </c>
      <c r="Z56" t="s">
        <v>605</v>
      </c>
      <c r="AA56">
        <v>8.6999999999999993</v>
      </c>
      <c r="AB56">
        <v>7.6</v>
      </c>
      <c r="AC56">
        <v>5.9</v>
      </c>
      <c r="AD56">
        <v>7.5</v>
      </c>
      <c r="AE56">
        <v>9.4</v>
      </c>
      <c r="AF56">
        <v>7.4</v>
      </c>
      <c r="AG56">
        <v>9.1999999999999993</v>
      </c>
      <c r="AH56">
        <v>8.6999999999999993</v>
      </c>
      <c r="AI56">
        <v>6.7</v>
      </c>
      <c r="AJ56">
        <v>7.1</v>
      </c>
      <c r="AL56">
        <v>5.3</v>
      </c>
      <c r="AM56">
        <v>6.7</v>
      </c>
      <c r="AN56">
        <v>7</v>
      </c>
      <c r="AO56">
        <v>6</v>
      </c>
      <c r="AP56">
        <v>8</v>
      </c>
      <c r="AQ56">
        <v>7.5</v>
      </c>
      <c r="AR56" t="s">
        <v>26</v>
      </c>
      <c r="AS56">
        <v>8.3000000000000007</v>
      </c>
      <c r="AU56" t="s">
        <v>26</v>
      </c>
      <c r="AV56">
        <v>10</v>
      </c>
      <c r="AW56" t="s">
        <v>26</v>
      </c>
      <c r="AX56">
        <v>10</v>
      </c>
      <c r="AY56" t="s">
        <v>26</v>
      </c>
      <c r="AZ56">
        <v>10</v>
      </c>
      <c r="BA56" t="s">
        <v>26</v>
      </c>
      <c r="BB56">
        <v>10</v>
      </c>
      <c r="BC56" t="s">
        <v>26</v>
      </c>
      <c r="BD56">
        <v>10</v>
      </c>
      <c r="BE56" t="s">
        <v>26</v>
      </c>
      <c r="BF56">
        <v>10</v>
      </c>
      <c r="BG56" t="s">
        <v>26</v>
      </c>
      <c r="BH56">
        <v>10</v>
      </c>
      <c r="BI56" t="s">
        <v>26</v>
      </c>
      <c r="BJ56">
        <v>10</v>
      </c>
    </row>
    <row r="57" spans="1:62" x14ac:dyDescent="0.35">
      <c r="A57" t="s">
        <v>141</v>
      </c>
      <c r="B57" t="s">
        <v>141</v>
      </c>
      <c r="C57" t="s">
        <v>135</v>
      </c>
      <c r="D57" t="s">
        <v>720</v>
      </c>
      <c r="E57" t="s">
        <v>142</v>
      </c>
      <c r="F57" t="s">
        <v>721</v>
      </c>
      <c r="G57" t="s">
        <v>39</v>
      </c>
      <c r="H57" t="s">
        <v>23</v>
      </c>
      <c r="I57" t="s">
        <v>119</v>
      </c>
      <c r="J57">
        <v>7.8</v>
      </c>
      <c r="K57" t="s">
        <v>605</v>
      </c>
      <c r="L57">
        <v>10</v>
      </c>
      <c r="M57">
        <v>7.2</v>
      </c>
      <c r="N57">
        <v>4.9000000000000004</v>
      </c>
      <c r="O57" t="s">
        <v>605</v>
      </c>
      <c r="P57">
        <v>6.7</v>
      </c>
      <c r="Q57">
        <v>3.2</v>
      </c>
      <c r="R57">
        <v>8.1</v>
      </c>
      <c r="S57">
        <v>6</v>
      </c>
      <c r="T57">
        <v>6.7</v>
      </c>
      <c r="U57">
        <v>6.8</v>
      </c>
      <c r="V57">
        <v>9.3000000000000007</v>
      </c>
      <c r="W57">
        <v>8.5</v>
      </c>
      <c r="X57">
        <v>9.1</v>
      </c>
      <c r="Y57">
        <v>8.1999999999999993</v>
      </c>
      <c r="Z57" t="s">
        <v>608</v>
      </c>
      <c r="AA57">
        <v>8.4</v>
      </c>
      <c r="AB57">
        <v>7.3</v>
      </c>
      <c r="AC57">
        <v>9.6</v>
      </c>
      <c r="AD57">
        <v>8.6</v>
      </c>
      <c r="AE57">
        <v>9.6</v>
      </c>
      <c r="AF57">
        <v>9.4</v>
      </c>
      <c r="AG57">
        <v>8.8000000000000007</v>
      </c>
      <c r="AH57">
        <v>8.1999999999999993</v>
      </c>
      <c r="AI57">
        <v>6.1</v>
      </c>
      <c r="AJ57">
        <v>7.1</v>
      </c>
      <c r="AL57">
        <v>5.3</v>
      </c>
      <c r="AM57">
        <v>7.3</v>
      </c>
      <c r="AN57">
        <v>6</v>
      </c>
      <c r="AO57">
        <v>7</v>
      </c>
      <c r="AP57">
        <v>7</v>
      </c>
      <c r="AQ57">
        <v>8</v>
      </c>
      <c r="AR57" t="s">
        <v>26</v>
      </c>
      <c r="AS57">
        <v>8.5</v>
      </c>
      <c r="AU57" t="s">
        <v>26</v>
      </c>
      <c r="AV57">
        <v>10</v>
      </c>
      <c r="AW57" t="s">
        <v>26</v>
      </c>
      <c r="AX57">
        <v>10</v>
      </c>
      <c r="AY57" t="s">
        <v>26</v>
      </c>
      <c r="AZ57">
        <v>10</v>
      </c>
      <c r="BA57" t="s">
        <v>26</v>
      </c>
      <c r="BB57">
        <v>10</v>
      </c>
      <c r="BC57" t="s">
        <v>26</v>
      </c>
      <c r="BD57">
        <v>10</v>
      </c>
      <c r="BE57" t="s">
        <v>26</v>
      </c>
      <c r="BF57">
        <v>10</v>
      </c>
      <c r="BG57" t="s">
        <v>26</v>
      </c>
      <c r="BH57">
        <v>10</v>
      </c>
      <c r="BI57" t="s">
        <v>26</v>
      </c>
      <c r="BJ57">
        <v>10</v>
      </c>
    </row>
    <row r="58" spans="1:62" x14ac:dyDescent="0.35">
      <c r="A58" t="s">
        <v>164</v>
      </c>
      <c r="B58" t="s">
        <v>164</v>
      </c>
      <c r="C58" t="s">
        <v>135</v>
      </c>
      <c r="D58" t="s">
        <v>722</v>
      </c>
      <c r="E58" t="s">
        <v>165</v>
      </c>
      <c r="F58" t="s">
        <v>723</v>
      </c>
      <c r="G58" t="s">
        <v>39</v>
      </c>
      <c r="H58" t="s">
        <v>23</v>
      </c>
      <c r="I58" t="s">
        <v>166</v>
      </c>
      <c r="J58">
        <v>7.4</v>
      </c>
      <c r="L58">
        <v>12</v>
      </c>
      <c r="M58">
        <v>6</v>
      </c>
      <c r="N58">
        <v>4.9000000000000004</v>
      </c>
      <c r="P58">
        <v>4.5</v>
      </c>
      <c r="Q58">
        <v>3.2</v>
      </c>
      <c r="R58">
        <v>8.1</v>
      </c>
      <c r="S58">
        <v>6</v>
      </c>
      <c r="T58">
        <v>7</v>
      </c>
      <c r="U58">
        <v>6.8</v>
      </c>
      <c r="V58">
        <v>8.5</v>
      </c>
      <c r="W58">
        <v>8.5</v>
      </c>
      <c r="X58">
        <v>8.6999999999999993</v>
      </c>
      <c r="Y58">
        <v>8.1999999999999993</v>
      </c>
      <c r="AA58">
        <v>6.5</v>
      </c>
      <c r="AB58">
        <v>7.3</v>
      </c>
      <c r="AC58">
        <v>9.5</v>
      </c>
      <c r="AD58">
        <v>8.6</v>
      </c>
      <c r="AE58">
        <v>10</v>
      </c>
      <c r="AF58">
        <v>9.4</v>
      </c>
      <c r="AG58">
        <v>8.5</v>
      </c>
      <c r="AH58">
        <v>8.1999999999999993</v>
      </c>
      <c r="AI58">
        <v>7.5</v>
      </c>
      <c r="AJ58">
        <v>7.1</v>
      </c>
      <c r="AK58" t="s">
        <v>605</v>
      </c>
      <c r="AL58">
        <v>7.3</v>
      </c>
      <c r="AM58">
        <v>7.3</v>
      </c>
      <c r="AN58">
        <v>7</v>
      </c>
      <c r="AO58">
        <v>7</v>
      </c>
      <c r="AP58">
        <v>8</v>
      </c>
      <c r="AQ58">
        <v>8</v>
      </c>
      <c r="AR58" t="s">
        <v>26</v>
      </c>
      <c r="AS58">
        <v>8.5</v>
      </c>
      <c r="AU58" t="s">
        <v>26</v>
      </c>
      <c r="AV58">
        <v>10</v>
      </c>
      <c r="AW58" t="s">
        <v>26</v>
      </c>
      <c r="AX58">
        <v>10</v>
      </c>
      <c r="AY58" t="s">
        <v>26</v>
      </c>
      <c r="AZ58">
        <v>10</v>
      </c>
      <c r="BA58" t="s">
        <v>26</v>
      </c>
      <c r="BB58">
        <v>10</v>
      </c>
      <c r="BC58" t="s">
        <v>26</v>
      </c>
      <c r="BD58">
        <v>10</v>
      </c>
      <c r="BE58" t="s">
        <v>26</v>
      </c>
      <c r="BF58">
        <v>10</v>
      </c>
      <c r="BG58" t="s">
        <v>26</v>
      </c>
      <c r="BH58">
        <v>10</v>
      </c>
      <c r="BI58" t="s">
        <v>26</v>
      </c>
      <c r="BJ58">
        <v>10</v>
      </c>
    </row>
    <row r="59" spans="1:62" x14ac:dyDescent="0.35">
      <c r="A59" t="s">
        <v>147</v>
      </c>
      <c r="B59" t="s">
        <v>147</v>
      </c>
      <c r="C59" t="s">
        <v>135</v>
      </c>
      <c r="D59" t="s">
        <v>724</v>
      </c>
      <c r="E59" t="s">
        <v>148</v>
      </c>
      <c r="F59" t="s">
        <v>725</v>
      </c>
      <c r="G59" t="s">
        <v>24</v>
      </c>
      <c r="H59" t="s">
        <v>23</v>
      </c>
      <c r="I59" t="s">
        <v>48</v>
      </c>
      <c r="J59">
        <v>5.6</v>
      </c>
      <c r="L59">
        <v>30</v>
      </c>
      <c r="M59">
        <v>2.9</v>
      </c>
      <c r="N59">
        <v>4.9000000000000004</v>
      </c>
      <c r="P59">
        <v>0</v>
      </c>
      <c r="Q59">
        <v>3.2</v>
      </c>
      <c r="R59">
        <v>4.7</v>
      </c>
      <c r="S59">
        <v>6</v>
      </c>
      <c r="T59">
        <v>6.8</v>
      </c>
      <c r="U59">
        <v>6.8</v>
      </c>
      <c r="V59">
        <v>9.1999999999999993</v>
      </c>
      <c r="W59">
        <v>8.5</v>
      </c>
      <c r="X59">
        <v>7.7</v>
      </c>
      <c r="Y59">
        <v>8.1999999999999993</v>
      </c>
      <c r="AA59">
        <v>6.9</v>
      </c>
      <c r="AB59">
        <v>7.3</v>
      </c>
      <c r="AC59">
        <v>8</v>
      </c>
      <c r="AD59">
        <v>8.6</v>
      </c>
      <c r="AE59">
        <v>9.4</v>
      </c>
      <c r="AF59">
        <v>9.4</v>
      </c>
      <c r="AG59">
        <v>7</v>
      </c>
      <c r="AH59">
        <v>8.1999999999999993</v>
      </c>
      <c r="AI59">
        <v>6.7</v>
      </c>
      <c r="AJ59">
        <v>7.1</v>
      </c>
      <c r="AL59">
        <v>6.7</v>
      </c>
      <c r="AM59">
        <v>7.3</v>
      </c>
      <c r="AN59">
        <v>6</v>
      </c>
      <c r="AO59">
        <v>7</v>
      </c>
      <c r="AP59">
        <v>7</v>
      </c>
      <c r="AQ59">
        <v>8</v>
      </c>
      <c r="AR59">
        <v>8.5</v>
      </c>
      <c r="AS59">
        <v>8.5</v>
      </c>
      <c r="AU59">
        <v>10</v>
      </c>
      <c r="AV59">
        <v>10</v>
      </c>
      <c r="AW59">
        <v>10</v>
      </c>
      <c r="AX59">
        <v>10</v>
      </c>
      <c r="AY59">
        <v>10</v>
      </c>
      <c r="AZ59">
        <v>10</v>
      </c>
      <c r="BA59">
        <v>10</v>
      </c>
      <c r="BB59">
        <v>10</v>
      </c>
      <c r="BC59">
        <v>10</v>
      </c>
      <c r="BD59">
        <v>10</v>
      </c>
      <c r="BE59">
        <v>10</v>
      </c>
      <c r="BF59">
        <v>10</v>
      </c>
      <c r="BG59">
        <v>10</v>
      </c>
      <c r="BH59">
        <v>10</v>
      </c>
      <c r="BI59">
        <v>10</v>
      </c>
      <c r="BJ59">
        <v>10</v>
      </c>
    </row>
    <row r="60" spans="1:62" x14ac:dyDescent="0.35">
      <c r="A60" t="s">
        <v>381</v>
      </c>
      <c r="B60" t="s">
        <v>381</v>
      </c>
      <c r="C60" t="s">
        <v>366</v>
      </c>
      <c r="D60" t="s">
        <v>726</v>
      </c>
      <c r="E60" t="s">
        <v>382</v>
      </c>
      <c r="F60" t="s">
        <v>727</v>
      </c>
      <c r="G60" t="s">
        <v>24</v>
      </c>
      <c r="H60" t="s">
        <v>23</v>
      </c>
      <c r="I60" t="s">
        <v>33</v>
      </c>
      <c r="J60">
        <v>7.6</v>
      </c>
      <c r="K60" t="s">
        <v>608</v>
      </c>
      <c r="L60">
        <v>4</v>
      </c>
      <c r="M60">
        <v>6.4</v>
      </c>
      <c r="N60">
        <v>3.35</v>
      </c>
      <c r="O60" t="s">
        <v>608</v>
      </c>
      <c r="P60">
        <v>5.5</v>
      </c>
      <c r="Q60">
        <v>0</v>
      </c>
      <c r="R60">
        <v>7.5</v>
      </c>
      <c r="S60">
        <v>7.1</v>
      </c>
      <c r="T60">
        <v>6.7</v>
      </c>
      <c r="U60">
        <v>7.1</v>
      </c>
      <c r="V60">
        <v>8.8000000000000007</v>
      </c>
      <c r="W60">
        <v>8.9</v>
      </c>
      <c r="X60">
        <v>8.9</v>
      </c>
      <c r="Y60">
        <v>8.6</v>
      </c>
      <c r="Z60" t="s">
        <v>605</v>
      </c>
      <c r="AA60">
        <v>9.5</v>
      </c>
      <c r="AB60">
        <v>8.6</v>
      </c>
      <c r="AC60" t="s">
        <v>26</v>
      </c>
      <c r="AD60">
        <v>0</v>
      </c>
      <c r="AE60">
        <v>8.9</v>
      </c>
      <c r="AF60">
        <v>8.9</v>
      </c>
      <c r="AG60">
        <v>8.6999999999999993</v>
      </c>
      <c r="AH60">
        <v>8.6999999999999993</v>
      </c>
      <c r="AI60">
        <v>7.5</v>
      </c>
      <c r="AJ60">
        <v>6.4</v>
      </c>
      <c r="AK60" t="s">
        <v>662</v>
      </c>
      <c r="AL60">
        <v>7.3</v>
      </c>
      <c r="AM60">
        <v>5.3</v>
      </c>
      <c r="AN60">
        <v>7</v>
      </c>
      <c r="AO60">
        <v>7</v>
      </c>
      <c r="AP60">
        <v>8</v>
      </c>
      <c r="AQ60">
        <v>7.5</v>
      </c>
      <c r="AR60">
        <v>7.2</v>
      </c>
      <c r="AS60">
        <v>8.3000000000000007</v>
      </c>
      <c r="AU60">
        <v>10</v>
      </c>
      <c r="AV60">
        <v>10</v>
      </c>
      <c r="AW60">
        <v>6</v>
      </c>
      <c r="AX60">
        <v>10</v>
      </c>
      <c r="AY60">
        <v>8</v>
      </c>
      <c r="AZ60">
        <v>10</v>
      </c>
      <c r="BA60">
        <v>8</v>
      </c>
      <c r="BB60">
        <v>10</v>
      </c>
      <c r="BC60">
        <v>10</v>
      </c>
      <c r="BD60">
        <v>10</v>
      </c>
      <c r="BE60">
        <v>6</v>
      </c>
      <c r="BF60">
        <v>10</v>
      </c>
      <c r="BG60">
        <v>8</v>
      </c>
      <c r="BH60">
        <v>10</v>
      </c>
      <c r="BI60">
        <v>10</v>
      </c>
      <c r="BJ60">
        <v>10</v>
      </c>
    </row>
    <row r="61" spans="1:62" x14ac:dyDescent="0.35">
      <c r="A61" t="s">
        <v>333</v>
      </c>
      <c r="B61" t="s">
        <v>333</v>
      </c>
      <c r="C61" t="s">
        <v>319</v>
      </c>
      <c r="D61" t="s">
        <v>728</v>
      </c>
      <c r="E61" t="s">
        <v>334</v>
      </c>
      <c r="F61" t="s">
        <v>729</v>
      </c>
      <c r="G61" t="s">
        <v>57</v>
      </c>
      <c r="H61" t="s">
        <v>23</v>
      </c>
      <c r="I61" t="s">
        <v>33</v>
      </c>
      <c r="J61">
        <v>6.2</v>
      </c>
      <c r="L61">
        <v>11</v>
      </c>
      <c r="M61">
        <v>3.5</v>
      </c>
      <c r="N61">
        <v>3.75</v>
      </c>
      <c r="P61">
        <v>0</v>
      </c>
      <c r="Q61">
        <v>0</v>
      </c>
      <c r="R61">
        <v>7.1</v>
      </c>
      <c r="S61">
        <v>7.1</v>
      </c>
      <c r="T61">
        <v>8</v>
      </c>
      <c r="U61">
        <v>8</v>
      </c>
      <c r="V61">
        <v>8.6999999999999993</v>
      </c>
      <c r="W61">
        <v>8.3000000000000007</v>
      </c>
      <c r="X61">
        <v>8.3000000000000007</v>
      </c>
      <c r="Y61">
        <v>8</v>
      </c>
      <c r="Z61" t="s">
        <v>605</v>
      </c>
      <c r="AA61">
        <v>7</v>
      </c>
      <c r="AB61">
        <v>7.6</v>
      </c>
      <c r="AC61" t="s">
        <v>26</v>
      </c>
      <c r="AD61">
        <v>0</v>
      </c>
      <c r="AE61">
        <v>9.3000000000000007</v>
      </c>
      <c r="AF61">
        <v>8.8000000000000007</v>
      </c>
      <c r="AG61">
        <v>8.5</v>
      </c>
      <c r="AH61">
        <v>7.5</v>
      </c>
      <c r="AI61">
        <v>7.5</v>
      </c>
      <c r="AJ61">
        <v>6.7</v>
      </c>
      <c r="AK61" t="s">
        <v>608</v>
      </c>
      <c r="AL61">
        <v>7.3</v>
      </c>
      <c r="AM61">
        <v>6.7</v>
      </c>
      <c r="AN61">
        <v>9</v>
      </c>
      <c r="AO61">
        <v>7</v>
      </c>
      <c r="AP61" t="s">
        <v>26</v>
      </c>
      <c r="AQ61">
        <v>6</v>
      </c>
      <c r="AR61">
        <v>8.5</v>
      </c>
      <c r="AS61">
        <v>8.5</v>
      </c>
      <c r="AT61" t="s">
        <v>605</v>
      </c>
      <c r="AU61">
        <v>10</v>
      </c>
      <c r="AV61">
        <v>10</v>
      </c>
      <c r="AW61">
        <v>10</v>
      </c>
      <c r="AX61">
        <v>10</v>
      </c>
      <c r="AY61">
        <v>10</v>
      </c>
      <c r="AZ61">
        <v>10</v>
      </c>
      <c r="BA61">
        <v>10</v>
      </c>
      <c r="BB61">
        <v>10</v>
      </c>
      <c r="BC61">
        <v>10</v>
      </c>
      <c r="BD61">
        <v>10</v>
      </c>
      <c r="BE61">
        <v>10</v>
      </c>
      <c r="BF61">
        <v>10</v>
      </c>
      <c r="BG61">
        <v>10</v>
      </c>
      <c r="BH61">
        <v>10</v>
      </c>
      <c r="BI61">
        <v>10</v>
      </c>
      <c r="BJ61">
        <v>10</v>
      </c>
    </row>
    <row r="62" spans="1:62" x14ac:dyDescent="0.35">
      <c r="A62" t="s">
        <v>335</v>
      </c>
      <c r="B62" t="s">
        <v>335</v>
      </c>
      <c r="C62" t="s">
        <v>319</v>
      </c>
      <c r="D62" t="s">
        <v>730</v>
      </c>
      <c r="E62" t="s">
        <v>336</v>
      </c>
      <c r="F62" t="s">
        <v>731</v>
      </c>
      <c r="G62" t="s">
        <v>57</v>
      </c>
      <c r="H62" t="s">
        <v>23</v>
      </c>
      <c r="I62" t="s">
        <v>33</v>
      </c>
      <c r="J62">
        <v>7.6</v>
      </c>
      <c r="K62" t="s">
        <v>608</v>
      </c>
      <c r="L62">
        <v>4</v>
      </c>
      <c r="M62">
        <v>6.9</v>
      </c>
      <c r="N62">
        <v>3.75</v>
      </c>
      <c r="O62" t="s">
        <v>605</v>
      </c>
      <c r="P62">
        <v>6</v>
      </c>
      <c r="Q62">
        <v>0</v>
      </c>
      <c r="R62">
        <v>7.8</v>
      </c>
      <c r="S62">
        <v>7.1</v>
      </c>
      <c r="T62">
        <v>7.7</v>
      </c>
      <c r="U62">
        <v>8</v>
      </c>
      <c r="V62">
        <v>8.1999999999999993</v>
      </c>
      <c r="W62">
        <v>8.3000000000000007</v>
      </c>
      <c r="X62">
        <v>8.6999999999999993</v>
      </c>
      <c r="Y62">
        <v>8</v>
      </c>
      <c r="Z62" t="s">
        <v>608</v>
      </c>
      <c r="AA62">
        <v>9.5</v>
      </c>
      <c r="AB62">
        <v>7.6</v>
      </c>
      <c r="AC62" t="s">
        <v>26</v>
      </c>
      <c r="AD62">
        <v>0</v>
      </c>
      <c r="AE62">
        <v>10</v>
      </c>
      <c r="AF62">
        <v>8.8000000000000007</v>
      </c>
      <c r="AG62">
        <v>8</v>
      </c>
      <c r="AH62">
        <v>7.5</v>
      </c>
      <c r="AI62">
        <v>7</v>
      </c>
      <c r="AJ62">
        <v>6.7</v>
      </c>
      <c r="AK62" t="s">
        <v>605</v>
      </c>
      <c r="AL62">
        <v>8</v>
      </c>
      <c r="AM62">
        <v>6.7</v>
      </c>
      <c r="AN62">
        <v>7</v>
      </c>
      <c r="AO62">
        <v>7</v>
      </c>
      <c r="AP62">
        <v>6</v>
      </c>
      <c r="AQ62">
        <v>6</v>
      </c>
      <c r="AR62">
        <v>8.5</v>
      </c>
      <c r="AS62">
        <v>8.5</v>
      </c>
      <c r="AT62" t="s">
        <v>605</v>
      </c>
      <c r="AU62">
        <v>10</v>
      </c>
      <c r="AV62">
        <v>10</v>
      </c>
      <c r="AW62">
        <v>10</v>
      </c>
      <c r="AX62">
        <v>10</v>
      </c>
      <c r="AY62">
        <v>10</v>
      </c>
      <c r="AZ62">
        <v>10</v>
      </c>
      <c r="BA62">
        <v>10</v>
      </c>
      <c r="BB62">
        <v>10</v>
      </c>
      <c r="BC62">
        <v>10</v>
      </c>
      <c r="BD62">
        <v>10</v>
      </c>
      <c r="BE62">
        <v>10</v>
      </c>
      <c r="BF62">
        <v>10</v>
      </c>
      <c r="BG62">
        <v>10</v>
      </c>
      <c r="BH62">
        <v>10</v>
      </c>
      <c r="BI62">
        <v>10</v>
      </c>
      <c r="BJ62">
        <v>10</v>
      </c>
    </row>
    <row r="63" spans="1:62" x14ac:dyDescent="0.35">
      <c r="A63" t="s">
        <v>49</v>
      </c>
      <c r="B63" t="s">
        <v>49</v>
      </c>
      <c r="C63" t="s">
        <v>21</v>
      </c>
      <c r="D63" t="s">
        <v>732</v>
      </c>
      <c r="E63" t="s">
        <v>50</v>
      </c>
      <c r="F63" t="s">
        <v>733</v>
      </c>
      <c r="G63" t="s">
        <v>24</v>
      </c>
      <c r="H63" t="s">
        <v>23</v>
      </c>
      <c r="I63" t="s">
        <v>48</v>
      </c>
      <c r="J63">
        <v>6.2</v>
      </c>
      <c r="L63">
        <v>13</v>
      </c>
      <c r="M63">
        <v>3.6</v>
      </c>
      <c r="N63">
        <v>3.6</v>
      </c>
      <c r="P63">
        <v>0</v>
      </c>
      <c r="Q63">
        <v>1</v>
      </c>
      <c r="R63">
        <v>8.6999999999999993</v>
      </c>
      <c r="S63">
        <v>7.1</v>
      </c>
      <c r="T63">
        <v>5.8</v>
      </c>
      <c r="U63">
        <v>6.3</v>
      </c>
      <c r="V63">
        <v>9.6999999999999993</v>
      </c>
      <c r="W63">
        <v>8.9</v>
      </c>
      <c r="X63">
        <v>8.1999999999999993</v>
      </c>
      <c r="Y63">
        <v>7.8</v>
      </c>
      <c r="AA63">
        <v>6.1</v>
      </c>
      <c r="AB63">
        <v>7.6</v>
      </c>
      <c r="AC63">
        <v>7</v>
      </c>
      <c r="AD63">
        <v>7.5</v>
      </c>
      <c r="AE63">
        <v>9.6999999999999993</v>
      </c>
      <c r="AF63">
        <v>7.4</v>
      </c>
      <c r="AG63">
        <v>9</v>
      </c>
      <c r="AH63">
        <v>8.6999999999999993</v>
      </c>
      <c r="AI63">
        <v>7.6</v>
      </c>
      <c r="AJ63">
        <v>7.1</v>
      </c>
      <c r="AK63" t="s">
        <v>605</v>
      </c>
      <c r="AL63">
        <v>6.7</v>
      </c>
      <c r="AM63">
        <v>6.7</v>
      </c>
      <c r="AN63" t="s">
        <v>26</v>
      </c>
      <c r="AO63">
        <v>6</v>
      </c>
      <c r="AP63">
        <v>9</v>
      </c>
      <c r="AQ63">
        <v>7.5</v>
      </c>
      <c r="AR63" t="s">
        <v>26</v>
      </c>
      <c r="AS63">
        <v>8.3000000000000007</v>
      </c>
      <c r="AU63" t="s">
        <v>26</v>
      </c>
      <c r="AV63">
        <v>10</v>
      </c>
      <c r="AW63" t="s">
        <v>26</v>
      </c>
      <c r="AX63">
        <v>10</v>
      </c>
      <c r="AY63" t="s">
        <v>26</v>
      </c>
      <c r="AZ63">
        <v>10</v>
      </c>
      <c r="BA63" t="s">
        <v>26</v>
      </c>
      <c r="BB63">
        <v>10</v>
      </c>
      <c r="BC63" t="s">
        <v>26</v>
      </c>
      <c r="BD63">
        <v>10</v>
      </c>
      <c r="BE63" t="s">
        <v>26</v>
      </c>
      <c r="BF63">
        <v>10</v>
      </c>
      <c r="BG63" t="s">
        <v>26</v>
      </c>
      <c r="BH63">
        <v>10</v>
      </c>
      <c r="BI63" t="s">
        <v>26</v>
      </c>
      <c r="BJ63">
        <v>10</v>
      </c>
    </row>
    <row r="64" spans="1:62" x14ac:dyDescent="0.35">
      <c r="A64" t="s">
        <v>51</v>
      </c>
      <c r="B64" t="s">
        <v>51</v>
      </c>
      <c r="C64" t="s">
        <v>21</v>
      </c>
      <c r="D64" t="s">
        <v>734</v>
      </c>
      <c r="E64" t="s">
        <v>52</v>
      </c>
      <c r="F64" t="s">
        <v>735</v>
      </c>
      <c r="G64" t="s">
        <v>24</v>
      </c>
      <c r="H64" t="s">
        <v>23</v>
      </c>
      <c r="I64" t="s">
        <v>33</v>
      </c>
      <c r="J64">
        <v>5.2</v>
      </c>
      <c r="L64">
        <v>27</v>
      </c>
      <c r="M64">
        <v>2.6</v>
      </c>
      <c r="N64">
        <v>3.6</v>
      </c>
      <c r="P64">
        <v>1</v>
      </c>
      <c r="Q64">
        <v>1</v>
      </c>
      <c r="R64">
        <v>3.2</v>
      </c>
      <c r="S64">
        <v>7.1</v>
      </c>
      <c r="T64">
        <v>6.6</v>
      </c>
      <c r="U64">
        <v>6.3</v>
      </c>
      <c r="V64">
        <v>4.4000000000000004</v>
      </c>
      <c r="W64">
        <v>8.9</v>
      </c>
      <c r="X64">
        <v>7.5</v>
      </c>
      <c r="Y64">
        <v>7.8</v>
      </c>
      <c r="AA64">
        <v>7.6</v>
      </c>
      <c r="AB64">
        <v>7.6</v>
      </c>
      <c r="AC64">
        <v>7.9</v>
      </c>
      <c r="AD64">
        <v>7.5</v>
      </c>
      <c r="AE64">
        <v>0</v>
      </c>
      <c r="AF64">
        <v>7.4</v>
      </c>
      <c r="AG64">
        <v>9.8000000000000007</v>
      </c>
      <c r="AH64">
        <v>8.6999999999999993</v>
      </c>
      <c r="AI64">
        <v>5.9</v>
      </c>
      <c r="AJ64">
        <v>7.1</v>
      </c>
      <c r="AL64">
        <v>6.7</v>
      </c>
      <c r="AM64">
        <v>6.7</v>
      </c>
      <c r="AN64">
        <v>6</v>
      </c>
      <c r="AO64">
        <v>6</v>
      </c>
      <c r="AP64">
        <v>5</v>
      </c>
      <c r="AQ64">
        <v>7.5</v>
      </c>
      <c r="AR64">
        <v>7.9</v>
      </c>
      <c r="AS64">
        <v>8.3000000000000007</v>
      </c>
      <c r="AU64">
        <v>10</v>
      </c>
      <c r="AV64">
        <v>10</v>
      </c>
      <c r="AW64">
        <v>8</v>
      </c>
      <c r="AX64">
        <v>10</v>
      </c>
      <c r="AY64">
        <v>10</v>
      </c>
      <c r="AZ64">
        <v>10</v>
      </c>
      <c r="BA64">
        <v>10</v>
      </c>
      <c r="BB64">
        <v>10</v>
      </c>
      <c r="BC64">
        <v>8</v>
      </c>
      <c r="BD64">
        <v>10</v>
      </c>
      <c r="BE64">
        <v>8</v>
      </c>
      <c r="BF64">
        <v>10</v>
      </c>
      <c r="BG64">
        <v>10</v>
      </c>
      <c r="BH64">
        <v>10</v>
      </c>
      <c r="BI64">
        <v>10</v>
      </c>
      <c r="BJ64">
        <v>10</v>
      </c>
    </row>
    <row r="65" spans="1:62" x14ac:dyDescent="0.35">
      <c r="A65" t="s">
        <v>53</v>
      </c>
      <c r="B65" t="s">
        <v>53</v>
      </c>
      <c r="C65" t="s">
        <v>21</v>
      </c>
      <c r="D65" t="s">
        <v>736</v>
      </c>
      <c r="E65" t="s">
        <v>54</v>
      </c>
      <c r="F65" t="s">
        <v>737</v>
      </c>
      <c r="G65" t="s">
        <v>39</v>
      </c>
      <c r="H65" t="s">
        <v>23</v>
      </c>
      <c r="I65" t="s">
        <v>25</v>
      </c>
      <c r="J65">
        <v>6.8</v>
      </c>
      <c r="K65" t="s">
        <v>605</v>
      </c>
      <c r="L65">
        <v>9</v>
      </c>
      <c r="M65">
        <v>6.1</v>
      </c>
      <c r="N65">
        <v>3.6</v>
      </c>
      <c r="O65" t="s">
        <v>605</v>
      </c>
      <c r="P65">
        <v>5.2</v>
      </c>
      <c r="Q65">
        <v>1</v>
      </c>
      <c r="R65">
        <v>7.8</v>
      </c>
      <c r="S65">
        <v>7.1</v>
      </c>
      <c r="T65">
        <v>5.0999999999999996</v>
      </c>
      <c r="U65">
        <v>6.3</v>
      </c>
      <c r="V65">
        <v>9</v>
      </c>
      <c r="W65">
        <v>8.9</v>
      </c>
      <c r="X65">
        <v>7.8</v>
      </c>
      <c r="Y65">
        <v>7.8</v>
      </c>
      <c r="AA65">
        <v>8.4</v>
      </c>
      <c r="AB65">
        <v>7.6</v>
      </c>
      <c r="AC65">
        <v>6.4</v>
      </c>
      <c r="AD65">
        <v>7.5</v>
      </c>
      <c r="AE65">
        <v>5.9</v>
      </c>
      <c r="AF65">
        <v>7.4</v>
      </c>
      <c r="AG65">
        <v>9</v>
      </c>
      <c r="AH65">
        <v>8.6999999999999993</v>
      </c>
      <c r="AI65">
        <v>6.5</v>
      </c>
      <c r="AJ65">
        <v>7.1</v>
      </c>
      <c r="AL65">
        <v>7.3</v>
      </c>
      <c r="AM65">
        <v>6.7</v>
      </c>
      <c r="AN65">
        <v>6</v>
      </c>
      <c r="AO65">
        <v>6</v>
      </c>
      <c r="AP65">
        <v>6</v>
      </c>
      <c r="AQ65">
        <v>7.5</v>
      </c>
      <c r="AR65">
        <v>8.3000000000000007</v>
      </c>
      <c r="AS65">
        <v>8.3000000000000007</v>
      </c>
      <c r="AT65" t="s">
        <v>605</v>
      </c>
      <c r="AU65">
        <v>10</v>
      </c>
      <c r="AV65">
        <v>10</v>
      </c>
      <c r="AW65">
        <v>10</v>
      </c>
      <c r="AX65">
        <v>10</v>
      </c>
      <c r="AY65">
        <v>10</v>
      </c>
      <c r="AZ65">
        <v>10</v>
      </c>
      <c r="BA65">
        <v>10</v>
      </c>
      <c r="BB65">
        <v>10</v>
      </c>
      <c r="BC65">
        <v>10</v>
      </c>
      <c r="BD65">
        <v>10</v>
      </c>
      <c r="BE65">
        <v>10</v>
      </c>
      <c r="BF65">
        <v>10</v>
      </c>
      <c r="BG65">
        <v>8</v>
      </c>
      <c r="BH65">
        <v>10</v>
      </c>
      <c r="BI65">
        <v>10</v>
      </c>
      <c r="BJ65">
        <v>10</v>
      </c>
    </row>
    <row r="66" spans="1:62" x14ac:dyDescent="0.35">
      <c r="A66" t="s">
        <v>171</v>
      </c>
      <c r="B66" t="s">
        <v>171</v>
      </c>
      <c r="C66" t="s">
        <v>135</v>
      </c>
      <c r="D66" t="s">
        <v>738</v>
      </c>
      <c r="E66" t="s">
        <v>172</v>
      </c>
      <c r="F66" t="s">
        <v>739</v>
      </c>
      <c r="G66" t="s">
        <v>39</v>
      </c>
      <c r="H66" t="s">
        <v>60</v>
      </c>
      <c r="I66" t="s">
        <v>73</v>
      </c>
      <c r="J66">
        <v>6.8</v>
      </c>
      <c r="L66">
        <v>18</v>
      </c>
      <c r="M66">
        <v>5</v>
      </c>
      <c r="N66">
        <v>4.9000000000000004</v>
      </c>
      <c r="P66">
        <v>2.7</v>
      </c>
      <c r="Q66">
        <v>3.2</v>
      </c>
      <c r="R66">
        <v>7.9</v>
      </c>
      <c r="S66">
        <v>6</v>
      </c>
      <c r="T66">
        <v>6.7</v>
      </c>
      <c r="U66">
        <v>6.8</v>
      </c>
      <c r="V66">
        <v>9.1</v>
      </c>
      <c r="W66">
        <v>8.5</v>
      </c>
      <c r="X66">
        <v>8.6999999999999993</v>
      </c>
      <c r="Y66">
        <v>8.1999999999999993</v>
      </c>
      <c r="AA66">
        <v>7.3</v>
      </c>
      <c r="AB66">
        <v>7.3</v>
      </c>
      <c r="AC66">
        <v>9.1999999999999993</v>
      </c>
      <c r="AD66">
        <v>8.6</v>
      </c>
      <c r="AE66">
        <v>9.8000000000000007</v>
      </c>
      <c r="AF66">
        <v>9.4</v>
      </c>
      <c r="AG66">
        <v>8.5</v>
      </c>
      <c r="AH66">
        <v>8.1999999999999993</v>
      </c>
      <c r="AI66">
        <v>6.9</v>
      </c>
      <c r="AJ66">
        <v>7.1</v>
      </c>
      <c r="AL66">
        <v>6.7</v>
      </c>
      <c r="AM66">
        <v>7.3</v>
      </c>
      <c r="AN66">
        <v>7</v>
      </c>
      <c r="AO66">
        <v>7</v>
      </c>
      <c r="AP66">
        <v>7</v>
      </c>
      <c r="AQ66">
        <v>8</v>
      </c>
      <c r="AR66" t="s">
        <v>26</v>
      </c>
      <c r="AS66">
        <v>8.5</v>
      </c>
      <c r="AU66" t="s">
        <v>26</v>
      </c>
      <c r="AV66">
        <v>10</v>
      </c>
      <c r="AW66" t="s">
        <v>26</v>
      </c>
      <c r="AX66">
        <v>10</v>
      </c>
      <c r="AY66" t="s">
        <v>26</v>
      </c>
      <c r="AZ66">
        <v>10</v>
      </c>
      <c r="BA66" t="s">
        <v>26</v>
      </c>
      <c r="BB66">
        <v>10</v>
      </c>
      <c r="BC66" t="s">
        <v>26</v>
      </c>
      <c r="BD66">
        <v>10</v>
      </c>
      <c r="BE66" t="s">
        <v>26</v>
      </c>
      <c r="BF66">
        <v>10</v>
      </c>
      <c r="BG66" t="s">
        <v>26</v>
      </c>
      <c r="BH66">
        <v>10</v>
      </c>
      <c r="BI66" t="s">
        <v>26</v>
      </c>
      <c r="BJ66">
        <v>10</v>
      </c>
    </row>
    <row r="67" spans="1:62" x14ac:dyDescent="0.35">
      <c r="A67" t="s">
        <v>173</v>
      </c>
      <c r="B67" t="s">
        <v>173</v>
      </c>
      <c r="C67" t="s">
        <v>135</v>
      </c>
      <c r="D67" t="s">
        <v>740</v>
      </c>
      <c r="E67" t="s">
        <v>174</v>
      </c>
      <c r="F67" t="s">
        <v>741</v>
      </c>
      <c r="G67" t="s">
        <v>24</v>
      </c>
      <c r="H67" t="s">
        <v>23</v>
      </c>
      <c r="I67" t="s">
        <v>42</v>
      </c>
      <c r="J67">
        <v>7</v>
      </c>
      <c r="L67">
        <v>15</v>
      </c>
      <c r="M67">
        <v>6.9</v>
      </c>
      <c r="N67">
        <v>4.9000000000000004</v>
      </c>
      <c r="P67">
        <v>5.9</v>
      </c>
      <c r="Q67">
        <v>3.2</v>
      </c>
      <c r="R67">
        <v>8.6999999999999993</v>
      </c>
      <c r="S67">
        <v>6</v>
      </c>
      <c r="T67">
        <v>7.2</v>
      </c>
      <c r="U67">
        <v>6.8</v>
      </c>
      <c r="V67">
        <v>9</v>
      </c>
      <c r="W67">
        <v>8.5</v>
      </c>
      <c r="X67">
        <v>7.7</v>
      </c>
      <c r="Y67">
        <v>8.1999999999999993</v>
      </c>
      <c r="AA67">
        <v>9.3000000000000007</v>
      </c>
      <c r="AB67">
        <v>7.3</v>
      </c>
      <c r="AC67">
        <v>9.5</v>
      </c>
      <c r="AD67">
        <v>8.6</v>
      </c>
      <c r="AE67">
        <v>0</v>
      </c>
      <c r="AF67">
        <v>9.4</v>
      </c>
      <c r="AG67">
        <v>8.1999999999999993</v>
      </c>
      <c r="AH67">
        <v>8.1999999999999993</v>
      </c>
      <c r="AI67">
        <v>5.6</v>
      </c>
      <c r="AJ67">
        <v>7.1</v>
      </c>
      <c r="AL67">
        <v>4</v>
      </c>
      <c r="AM67">
        <v>7.3</v>
      </c>
      <c r="AN67">
        <v>6</v>
      </c>
      <c r="AO67">
        <v>7</v>
      </c>
      <c r="AP67" t="s">
        <v>26</v>
      </c>
      <c r="AQ67">
        <v>8</v>
      </c>
      <c r="AR67" t="s">
        <v>26</v>
      </c>
      <c r="AS67">
        <v>8.5</v>
      </c>
      <c r="AU67" t="s">
        <v>26</v>
      </c>
      <c r="AV67">
        <v>10</v>
      </c>
      <c r="AW67" t="s">
        <v>26</v>
      </c>
      <c r="AX67">
        <v>10</v>
      </c>
      <c r="AY67" t="s">
        <v>26</v>
      </c>
      <c r="AZ67">
        <v>10</v>
      </c>
      <c r="BA67" t="s">
        <v>26</v>
      </c>
      <c r="BB67">
        <v>10</v>
      </c>
      <c r="BC67" t="s">
        <v>26</v>
      </c>
      <c r="BD67">
        <v>10</v>
      </c>
      <c r="BE67" t="s">
        <v>26</v>
      </c>
      <c r="BF67">
        <v>10</v>
      </c>
      <c r="BG67" t="s">
        <v>26</v>
      </c>
      <c r="BH67">
        <v>10</v>
      </c>
      <c r="BI67" t="s">
        <v>26</v>
      </c>
      <c r="BJ67">
        <v>10</v>
      </c>
    </row>
    <row r="68" spans="1:62" x14ac:dyDescent="0.35">
      <c r="A68" t="s">
        <v>175</v>
      </c>
      <c r="B68" t="s">
        <v>175</v>
      </c>
      <c r="C68" t="s">
        <v>135</v>
      </c>
      <c r="D68" t="s">
        <v>742</v>
      </c>
      <c r="E68" t="s">
        <v>176</v>
      </c>
      <c r="F68" t="s">
        <v>743</v>
      </c>
      <c r="G68" t="s">
        <v>39</v>
      </c>
      <c r="H68" t="s">
        <v>23</v>
      </c>
      <c r="I68" t="s">
        <v>48</v>
      </c>
      <c r="J68">
        <v>8.6999999999999993</v>
      </c>
      <c r="K68" t="s">
        <v>622</v>
      </c>
      <c r="L68">
        <v>2</v>
      </c>
      <c r="M68">
        <v>9.1999999999999993</v>
      </c>
      <c r="N68">
        <v>4.9000000000000004</v>
      </c>
      <c r="O68" t="s">
        <v>622</v>
      </c>
      <c r="P68">
        <v>9</v>
      </c>
      <c r="Q68">
        <v>3.2</v>
      </c>
      <c r="R68">
        <v>9.6999999999999993</v>
      </c>
      <c r="S68">
        <v>6</v>
      </c>
      <c r="T68">
        <v>8.5</v>
      </c>
      <c r="U68">
        <v>6.8</v>
      </c>
      <c r="V68">
        <v>10</v>
      </c>
      <c r="W68">
        <v>8.5</v>
      </c>
      <c r="X68">
        <v>9</v>
      </c>
      <c r="Y68">
        <v>8.1999999999999993</v>
      </c>
      <c r="Z68" t="s">
        <v>605</v>
      </c>
      <c r="AA68">
        <v>7.9</v>
      </c>
      <c r="AB68">
        <v>7.3</v>
      </c>
      <c r="AC68">
        <v>9.8000000000000007</v>
      </c>
      <c r="AD68">
        <v>8.6</v>
      </c>
      <c r="AE68">
        <v>7.9</v>
      </c>
      <c r="AF68">
        <v>9.4</v>
      </c>
      <c r="AG68">
        <v>9.5</v>
      </c>
      <c r="AH68">
        <v>8.1999999999999993</v>
      </c>
      <c r="AI68">
        <v>7.2</v>
      </c>
      <c r="AJ68">
        <v>7.1</v>
      </c>
      <c r="AL68">
        <v>6</v>
      </c>
      <c r="AM68">
        <v>7.3</v>
      </c>
      <c r="AN68">
        <v>8</v>
      </c>
      <c r="AO68">
        <v>7</v>
      </c>
      <c r="AP68">
        <v>8</v>
      </c>
      <c r="AQ68">
        <v>8</v>
      </c>
      <c r="AR68">
        <v>8.5</v>
      </c>
      <c r="AS68">
        <v>8.5</v>
      </c>
      <c r="AT68" t="s">
        <v>605</v>
      </c>
      <c r="AU68">
        <v>10</v>
      </c>
      <c r="AV68">
        <v>10</v>
      </c>
      <c r="AW68">
        <v>10</v>
      </c>
      <c r="AX68">
        <v>10</v>
      </c>
      <c r="AY68">
        <v>10</v>
      </c>
      <c r="AZ68">
        <v>10</v>
      </c>
      <c r="BA68">
        <v>10</v>
      </c>
      <c r="BB68">
        <v>10</v>
      </c>
      <c r="BC68">
        <v>10</v>
      </c>
      <c r="BD68">
        <v>10</v>
      </c>
      <c r="BE68">
        <v>10</v>
      </c>
      <c r="BF68">
        <v>10</v>
      </c>
      <c r="BG68">
        <v>10</v>
      </c>
      <c r="BH68">
        <v>10</v>
      </c>
      <c r="BI68">
        <v>10</v>
      </c>
      <c r="BJ68">
        <v>10</v>
      </c>
    </row>
    <row r="69" spans="1:62" x14ac:dyDescent="0.35">
      <c r="A69" t="s">
        <v>112</v>
      </c>
      <c r="B69" t="s">
        <v>112</v>
      </c>
      <c r="C69" t="s">
        <v>110</v>
      </c>
      <c r="D69" t="s">
        <v>744</v>
      </c>
      <c r="E69" t="s">
        <v>113</v>
      </c>
      <c r="F69" t="s">
        <v>745</v>
      </c>
      <c r="G69" t="s">
        <v>39</v>
      </c>
      <c r="H69" t="s">
        <v>23</v>
      </c>
      <c r="I69" t="s">
        <v>25</v>
      </c>
      <c r="J69">
        <v>8.8000000000000007</v>
      </c>
      <c r="K69" t="s">
        <v>602</v>
      </c>
      <c r="L69">
        <v>1</v>
      </c>
      <c r="M69">
        <v>9.3000000000000007</v>
      </c>
      <c r="N69">
        <v>4</v>
      </c>
      <c r="O69" t="s">
        <v>602</v>
      </c>
      <c r="P69">
        <v>10</v>
      </c>
      <c r="Q69">
        <v>2.9</v>
      </c>
      <c r="R69">
        <v>8.1999999999999993</v>
      </c>
      <c r="S69">
        <v>5.8</v>
      </c>
      <c r="T69">
        <v>7.9</v>
      </c>
      <c r="U69">
        <v>7.5</v>
      </c>
      <c r="V69">
        <v>9.6</v>
      </c>
      <c r="W69">
        <v>9.3000000000000007</v>
      </c>
      <c r="X69">
        <v>9.1999999999999993</v>
      </c>
      <c r="Y69">
        <v>8.4</v>
      </c>
      <c r="Z69" t="s">
        <v>622</v>
      </c>
      <c r="AA69">
        <v>10</v>
      </c>
      <c r="AB69">
        <v>8.5</v>
      </c>
      <c r="AC69">
        <v>10</v>
      </c>
      <c r="AD69">
        <v>7.9</v>
      </c>
      <c r="AE69">
        <v>8.8000000000000007</v>
      </c>
      <c r="AF69">
        <v>8.8000000000000007</v>
      </c>
      <c r="AG69">
        <v>8.8000000000000007</v>
      </c>
      <c r="AH69">
        <v>8.6999999999999993</v>
      </c>
      <c r="AI69">
        <v>7.1</v>
      </c>
      <c r="AJ69">
        <v>6.6</v>
      </c>
      <c r="AK69" t="s">
        <v>608</v>
      </c>
      <c r="AL69">
        <v>7.3</v>
      </c>
      <c r="AM69">
        <v>6.7</v>
      </c>
      <c r="AN69" t="s">
        <v>26</v>
      </c>
      <c r="AO69">
        <v>6</v>
      </c>
      <c r="AP69" t="s">
        <v>26</v>
      </c>
      <c r="AQ69">
        <v>7</v>
      </c>
      <c r="AR69">
        <v>9.4</v>
      </c>
      <c r="AS69">
        <v>8.6999999999999993</v>
      </c>
      <c r="AT69" t="s">
        <v>622</v>
      </c>
      <c r="AU69">
        <v>8.6</v>
      </c>
      <c r="AV69">
        <v>9.6</v>
      </c>
      <c r="AW69">
        <v>9.4</v>
      </c>
      <c r="AX69">
        <v>10</v>
      </c>
      <c r="AY69">
        <v>9.4</v>
      </c>
      <c r="AZ69">
        <v>10</v>
      </c>
      <c r="BA69">
        <v>10</v>
      </c>
      <c r="BB69">
        <v>10</v>
      </c>
      <c r="BC69">
        <v>10</v>
      </c>
      <c r="BD69">
        <v>10</v>
      </c>
      <c r="BE69">
        <v>8.6</v>
      </c>
      <c r="BF69">
        <v>10</v>
      </c>
      <c r="BG69">
        <v>8.6</v>
      </c>
      <c r="BH69">
        <v>10</v>
      </c>
      <c r="BI69">
        <v>9.4</v>
      </c>
      <c r="BJ69">
        <v>9.6</v>
      </c>
    </row>
    <row r="70" spans="1:62" x14ac:dyDescent="0.35">
      <c r="A70" t="s">
        <v>58</v>
      </c>
      <c r="B70" t="s">
        <v>58</v>
      </c>
      <c r="C70" t="s">
        <v>21</v>
      </c>
      <c r="D70" t="s">
        <v>746</v>
      </c>
      <c r="E70" t="s">
        <v>59</v>
      </c>
      <c r="F70" t="s">
        <v>747</v>
      </c>
      <c r="G70" t="s">
        <v>24</v>
      </c>
      <c r="H70" t="s">
        <v>23</v>
      </c>
      <c r="I70" t="s">
        <v>48</v>
      </c>
      <c r="J70">
        <v>5.8</v>
      </c>
      <c r="L70">
        <v>19</v>
      </c>
      <c r="M70">
        <v>2.7</v>
      </c>
      <c r="N70">
        <v>3.6</v>
      </c>
      <c r="P70">
        <v>1</v>
      </c>
      <c r="Q70">
        <v>1</v>
      </c>
      <c r="R70">
        <v>6</v>
      </c>
      <c r="S70">
        <v>7.1</v>
      </c>
      <c r="T70">
        <v>0</v>
      </c>
      <c r="U70">
        <v>6.3</v>
      </c>
      <c r="V70">
        <v>9.6999999999999993</v>
      </c>
      <c r="W70">
        <v>8.9</v>
      </c>
      <c r="X70">
        <v>8.1</v>
      </c>
      <c r="Y70">
        <v>7.8</v>
      </c>
      <c r="AA70">
        <v>5.5</v>
      </c>
      <c r="AB70">
        <v>7.6</v>
      </c>
      <c r="AC70">
        <v>9</v>
      </c>
      <c r="AD70">
        <v>7.5</v>
      </c>
      <c r="AE70">
        <v>8.6999999999999993</v>
      </c>
      <c r="AF70">
        <v>7.4</v>
      </c>
      <c r="AG70">
        <v>8.1999999999999993</v>
      </c>
      <c r="AH70">
        <v>8.6999999999999993</v>
      </c>
      <c r="AI70">
        <v>7.5</v>
      </c>
      <c r="AJ70">
        <v>7.1</v>
      </c>
      <c r="AK70" t="s">
        <v>605</v>
      </c>
      <c r="AL70">
        <v>7.3</v>
      </c>
      <c r="AM70">
        <v>6.7</v>
      </c>
      <c r="AN70">
        <v>7</v>
      </c>
      <c r="AO70">
        <v>6</v>
      </c>
      <c r="AP70">
        <v>8</v>
      </c>
      <c r="AQ70">
        <v>7.5</v>
      </c>
      <c r="AR70">
        <v>8.5</v>
      </c>
      <c r="AS70">
        <v>8.3000000000000007</v>
      </c>
      <c r="AT70" t="s">
        <v>605</v>
      </c>
      <c r="AU70">
        <v>10</v>
      </c>
      <c r="AV70">
        <v>10</v>
      </c>
      <c r="AW70">
        <v>10</v>
      </c>
      <c r="AX70">
        <v>10</v>
      </c>
      <c r="AY70">
        <v>10</v>
      </c>
      <c r="AZ70">
        <v>10</v>
      </c>
      <c r="BA70">
        <v>10</v>
      </c>
      <c r="BB70">
        <v>10</v>
      </c>
      <c r="BC70">
        <v>10</v>
      </c>
      <c r="BD70">
        <v>10</v>
      </c>
      <c r="BE70">
        <v>10</v>
      </c>
      <c r="BF70">
        <v>10</v>
      </c>
      <c r="BG70">
        <v>10</v>
      </c>
      <c r="BH70">
        <v>10</v>
      </c>
      <c r="BI70">
        <v>10</v>
      </c>
      <c r="BJ70">
        <v>10</v>
      </c>
    </row>
    <row r="71" spans="1:62" x14ac:dyDescent="0.35">
      <c r="A71" t="s">
        <v>337</v>
      </c>
      <c r="B71" t="s">
        <v>337</v>
      </c>
      <c r="C71" t="s">
        <v>319</v>
      </c>
      <c r="D71" t="s">
        <v>748</v>
      </c>
      <c r="E71" t="s">
        <v>338</v>
      </c>
      <c r="F71" t="s">
        <v>749</v>
      </c>
      <c r="G71" t="s">
        <v>57</v>
      </c>
      <c r="H71" t="s">
        <v>63</v>
      </c>
      <c r="I71" t="s">
        <v>321</v>
      </c>
      <c r="J71">
        <v>8</v>
      </c>
      <c r="K71" t="s">
        <v>622</v>
      </c>
      <c r="L71">
        <v>2</v>
      </c>
      <c r="M71">
        <v>8.1</v>
      </c>
      <c r="N71">
        <v>3.75</v>
      </c>
      <c r="O71" t="s">
        <v>622</v>
      </c>
      <c r="P71">
        <v>7.5</v>
      </c>
      <c r="Q71">
        <v>0</v>
      </c>
      <c r="R71">
        <v>9.1999999999999993</v>
      </c>
      <c r="S71">
        <v>7.1</v>
      </c>
      <c r="T71">
        <v>7.9</v>
      </c>
      <c r="U71">
        <v>8</v>
      </c>
      <c r="V71">
        <v>10</v>
      </c>
      <c r="W71">
        <v>8.3000000000000007</v>
      </c>
      <c r="X71">
        <v>8.6999999999999993</v>
      </c>
      <c r="Y71">
        <v>8</v>
      </c>
      <c r="Z71" t="s">
        <v>608</v>
      </c>
      <c r="AA71">
        <v>7.5</v>
      </c>
      <c r="AB71">
        <v>7.6</v>
      </c>
      <c r="AC71" t="s">
        <v>26</v>
      </c>
      <c r="AD71">
        <v>0</v>
      </c>
      <c r="AE71">
        <v>10</v>
      </c>
      <c r="AF71">
        <v>8.8000000000000007</v>
      </c>
      <c r="AG71">
        <v>8.5</v>
      </c>
      <c r="AH71">
        <v>7.5</v>
      </c>
      <c r="AI71">
        <v>6.3</v>
      </c>
      <c r="AJ71">
        <v>6.7</v>
      </c>
      <c r="AL71">
        <v>4.7</v>
      </c>
      <c r="AM71">
        <v>6.7</v>
      </c>
      <c r="AN71">
        <v>8</v>
      </c>
      <c r="AO71">
        <v>7</v>
      </c>
      <c r="AP71" t="s">
        <v>26</v>
      </c>
      <c r="AQ71">
        <v>6</v>
      </c>
      <c r="AR71" t="s">
        <v>26</v>
      </c>
      <c r="AS71">
        <v>8.5</v>
      </c>
      <c r="AU71" t="s">
        <v>26</v>
      </c>
      <c r="AV71">
        <v>10</v>
      </c>
      <c r="AW71" t="s">
        <v>26</v>
      </c>
      <c r="AX71">
        <v>10</v>
      </c>
      <c r="AY71" t="s">
        <v>26</v>
      </c>
      <c r="AZ71">
        <v>10</v>
      </c>
      <c r="BA71" t="s">
        <v>26</v>
      </c>
      <c r="BB71">
        <v>10</v>
      </c>
      <c r="BC71" t="s">
        <v>26</v>
      </c>
      <c r="BD71">
        <v>10</v>
      </c>
      <c r="BE71" t="s">
        <v>26</v>
      </c>
      <c r="BF71">
        <v>10</v>
      </c>
      <c r="BG71" t="s">
        <v>26</v>
      </c>
      <c r="BH71">
        <v>10</v>
      </c>
      <c r="BI71" t="s">
        <v>26</v>
      </c>
      <c r="BJ71">
        <v>10</v>
      </c>
    </row>
    <row r="72" spans="1:62" x14ac:dyDescent="0.35">
      <c r="A72" t="s">
        <v>383</v>
      </c>
      <c r="B72" t="s">
        <v>383</v>
      </c>
      <c r="C72" t="s">
        <v>366</v>
      </c>
      <c r="D72" t="s">
        <v>750</v>
      </c>
      <c r="E72" t="s">
        <v>384</v>
      </c>
      <c r="F72" t="s">
        <v>751</v>
      </c>
      <c r="G72" t="s">
        <v>39</v>
      </c>
      <c r="H72" t="s">
        <v>23</v>
      </c>
      <c r="I72" t="s">
        <v>25</v>
      </c>
      <c r="J72">
        <v>5.3</v>
      </c>
      <c r="L72">
        <v>12</v>
      </c>
      <c r="M72">
        <v>2.2000000000000002</v>
      </c>
      <c r="N72">
        <v>3.35</v>
      </c>
      <c r="P72">
        <v>0</v>
      </c>
      <c r="Q72">
        <v>0</v>
      </c>
      <c r="R72">
        <v>0</v>
      </c>
      <c r="S72">
        <v>7.1</v>
      </c>
      <c r="T72">
        <v>9</v>
      </c>
      <c r="U72">
        <v>7.1</v>
      </c>
      <c r="V72">
        <v>8.1999999999999993</v>
      </c>
      <c r="W72">
        <v>8.9</v>
      </c>
      <c r="X72">
        <v>7.8</v>
      </c>
      <c r="Y72">
        <v>8.6</v>
      </c>
      <c r="AA72">
        <v>7.9</v>
      </c>
      <c r="AB72">
        <v>8.6</v>
      </c>
      <c r="AC72" t="s">
        <v>26</v>
      </c>
      <c r="AD72">
        <v>0</v>
      </c>
      <c r="AE72">
        <v>8.8000000000000007</v>
      </c>
      <c r="AF72">
        <v>8.9</v>
      </c>
      <c r="AG72">
        <v>7.5</v>
      </c>
      <c r="AH72">
        <v>8.6999999999999993</v>
      </c>
      <c r="AI72">
        <v>6.6</v>
      </c>
      <c r="AJ72">
        <v>6.4</v>
      </c>
      <c r="AK72" t="s">
        <v>605</v>
      </c>
      <c r="AL72">
        <v>6</v>
      </c>
      <c r="AM72">
        <v>5.3</v>
      </c>
      <c r="AN72">
        <v>7</v>
      </c>
      <c r="AO72">
        <v>7</v>
      </c>
      <c r="AP72" t="s">
        <v>26</v>
      </c>
      <c r="AQ72">
        <v>7.5</v>
      </c>
      <c r="AR72">
        <v>8.5</v>
      </c>
      <c r="AS72">
        <v>8.3000000000000007</v>
      </c>
      <c r="AT72" t="s">
        <v>608</v>
      </c>
      <c r="AU72">
        <v>10</v>
      </c>
      <c r="AV72">
        <v>10</v>
      </c>
      <c r="AW72">
        <v>10</v>
      </c>
      <c r="AX72">
        <v>10</v>
      </c>
      <c r="AY72">
        <v>10</v>
      </c>
      <c r="AZ72">
        <v>10</v>
      </c>
      <c r="BA72">
        <v>10</v>
      </c>
      <c r="BB72">
        <v>10</v>
      </c>
      <c r="BC72">
        <v>10</v>
      </c>
      <c r="BD72">
        <v>10</v>
      </c>
      <c r="BE72">
        <v>10</v>
      </c>
      <c r="BF72">
        <v>10</v>
      </c>
      <c r="BG72">
        <v>10</v>
      </c>
      <c r="BH72">
        <v>10</v>
      </c>
      <c r="BI72">
        <v>10</v>
      </c>
      <c r="BJ72">
        <v>10</v>
      </c>
    </row>
    <row r="73" spans="1:62" x14ac:dyDescent="0.35">
      <c r="A73" t="s">
        <v>198</v>
      </c>
      <c r="B73" t="s">
        <v>198</v>
      </c>
      <c r="C73" t="s">
        <v>135</v>
      </c>
      <c r="D73" t="s">
        <v>752</v>
      </c>
      <c r="E73" t="s">
        <v>199</v>
      </c>
      <c r="F73" t="s">
        <v>753</v>
      </c>
      <c r="G73" t="s">
        <v>39</v>
      </c>
      <c r="H73" t="s">
        <v>200</v>
      </c>
      <c r="I73" t="s">
        <v>25</v>
      </c>
      <c r="J73">
        <v>6.9</v>
      </c>
      <c r="L73">
        <v>17</v>
      </c>
      <c r="M73">
        <v>5.0999999999999996</v>
      </c>
      <c r="N73">
        <v>4.9000000000000004</v>
      </c>
      <c r="P73">
        <v>5.9</v>
      </c>
      <c r="Q73">
        <v>3.2</v>
      </c>
      <c r="R73">
        <v>5.3</v>
      </c>
      <c r="S73">
        <v>6</v>
      </c>
      <c r="T73">
        <v>0</v>
      </c>
      <c r="U73">
        <v>6.8</v>
      </c>
      <c r="V73">
        <v>8.1999999999999993</v>
      </c>
      <c r="W73">
        <v>8.5</v>
      </c>
      <c r="X73">
        <v>8.4</v>
      </c>
      <c r="Y73">
        <v>8.1999999999999993</v>
      </c>
      <c r="AA73">
        <v>7.5</v>
      </c>
      <c r="AB73">
        <v>7.3</v>
      </c>
      <c r="AC73">
        <v>8.4</v>
      </c>
      <c r="AD73">
        <v>8.6</v>
      </c>
      <c r="AE73">
        <v>8.6999999999999993</v>
      </c>
      <c r="AF73">
        <v>9.4</v>
      </c>
      <c r="AG73">
        <v>9</v>
      </c>
      <c r="AH73">
        <v>8.1999999999999993</v>
      </c>
      <c r="AI73">
        <v>7.3</v>
      </c>
      <c r="AJ73">
        <v>7.1</v>
      </c>
      <c r="AL73">
        <v>7.3</v>
      </c>
      <c r="AM73">
        <v>7.3</v>
      </c>
      <c r="AN73">
        <v>8</v>
      </c>
      <c r="AO73">
        <v>7</v>
      </c>
      <c r="AP73">
        <v>7</v>
      </c>
      <c r="AQ73">
        <v>8</v>
      </c>
      <c r="AR73">
        <v>8.5</v>
      </c>
      <c r="AS73">
        <v>8.5</v>
      </c>
      <c r="AU73">
        <v>10</v>
      </c>
      <c r="AV73">
        <v>10</v>
      </c>
      <c r="AW73">
        <v>10</v>
      </c>
      <c r="AX73">
        <v>10</v>
      </c>
      <c r="AY73">
        <v>10</v>
      </c>
      <c r="AZ73">
        <v>10</v>
      </c>
      <c r="BA73">
        <v>10</v>
      </c>
      <c r="BB73">
        <v>10</v>
      </c>
      <c r="BC73">
        <v>10</v>
      </c>
      <c r="BD73">
        <v>10</v>
      </c>
      <c r="BE73">
        <v>10</v>
      </c>
      <c r="BF73">
        <v>10</v>
      </c>
      <c r="BG73">
        <v>10</v>
      </c>
      <c r="BH73">
        <v>10</v>
      </c>
      <c r="BI73">
        <v>10</v>
      </c>
      <c r="BJ73">
        <v>10</v>
      </c>
    </row>
    <row r="74" spans="1:62" x14ac:dyDescent="0.35">
      <c r="A74" t="s">
        <v>339</v>
      </c>
      <c r="B74" t="s">
        <v>339</v>
      </c>
      <c r="C74" t="s">
        <v>319</v>
      </c>
      <c r="D74" t="s">
        <v>754</v>
      </c>
      <c r="E74" t="s">
        <v>340</v>
      </c>
      <c r="F74" t="s">
        <v>755</v>
      </c>
      <c r="G74" t="s">
        <v>57</v>
      </c>
      <c r="H74" t="s">
        <v>23</v>
      </c>
      <c r="I74" t="s">
        <v>306</v>
      </c>
      <c r="J74">
        <v>5.0999999999999996</v>
      </c>
      <c r="L74">
        <v>18</v>
      </c>
      <c r="M74">
        <v>3.6</v>
      </c>
      <c r="N74">
        <v>3.75</v>
      </c>
      <c r="P74">
        <v>0</v>
      </c>
      <c r="Q74">
        <v>0</v>
      </c>
      <c r="R74">
        <v>8.6999999999999993</v>
      </c>
      <c r="S74">
        <v>7.1</v>
      </c>
      <c r="T74">
        <v>7.1</v>
      </c>
      <c r="U74">
        <v>8</v>
      </c>
      <c r="V74">
        <v>8</v>
      </c>
      <c r="W74">
        <v>8.3000000000000007</v>
      </c>
      <c r="X74">
        <v>5.9</v>
      </c>
      <c r="Y74">
        <v>8</v>
      </c>
      <c r="AA74">
        <v>8</v>
      </c>
      <c r="AB74">
        <v>7.6</v>
      </c>
      <c r="AC74" t="s">
        <v>26</v>
      </c>
      <c r="AD74">
        <v>0</v>
      </c>
      <c r="AE74">
        <v>4.8</v>
      </c>
      <c r="AF74">
        <v>8.8000000000000007</v>
      </c>
      <c r="AG74">
        <v>5.5</v>
      </c>
      <c r="AH74">
        <v>7.5</v>
      </c>
      <c r="AI74">
        <v>6.5</v>
      </c>
      <c r="AJ74">
        <v>6.7</v>
      </c>
      <c r="AL74">
        <v>7.3</v>
      </c>
      <c r="AM74">
        <v>6.7</v>
      </c>
      <c r="AN74">
        <v>8</v>
      </c>
      <c r="AO74">
        <v>7</v>
      </c>
      <c r="AP74">
        <v>5</v>
      </c>
      <c r="AQ74">
        <v>6</v>
      </c>
      <c r="AR74" t="s">
        <v>26</v>
      </c>
      <c r="AS74">
        <v>8.5</v>
      </c>
      <c r="AU74" t="s">
        <v>26</v>
      </c>
      <c r="AV74">
        <v>10</v>
      </c>
      <c r="AW74" t="s">
        <v>26</v>
      </c>
      <c r="AX74">
        <v>10</v>
      </c>
      <c r="AY74" t="s">
        <v>26</v>
      </c>
      <c r="AZ74">
        <v>10</v>
      </c>
      <c r="BA74" t="s">
        <v>26</v>
      </c>
      <c r="BB74">
        <v>10</v>
      </c>
      <c r="BC74" t="s">
        <v>26</v>
      </c>
      <c r="BD74">
        <v>10</v>
      </c>
      <c r="BE74" t="s">
        <v>26</v>
      </c>
      <c r="BF74">
        <v>10</v>
      </c>
      <c r="BG74" t="s">
        <v>26</v>
      </c>
      <c r="BH74">
        <v>10</v>
      </c>
      <c r="BI74" t="s">
        <v>26</v>
      </c>
      <c r="BJ74">
        <v>10</v>
      </c>
    </row>
    <row r="75" spans="1:62" x14ac:dyDescent="0.35">
      <c r="A75" t="s">
        <v>65</v>
      </c>
      <c r="B75" t="s">
        <v>65</v>
      </c>
      <c r="C75" t="s">
        <v>21</v>
      </c>
      <c r="D75" t="s">
        <v>756</v>
      </c>
      <c r="E75" t="s">
        <v>66</v>
      </c>
      <c r="F75" t="s">
        <v>757</v>
      </c>
      <c r="G75" t="s">
        <v>39</v>
      </c>
      <c r="H75" t="s">
        <v>67</v>
      </c>
      <c r="I75" t="s">
        <v>68</v>
      </c>
      <c r="J75">
        <v>6.4</v>
      </c>
      <c r="L75">
        <v>12</v>
      </c>
      <c r="M75">
        <v>6</v>
      </c>
      <c r="N75">
        <v>3.6</v>
      </c>
      <c r="O75" t="s">
        <v>605</v>
      </c>
      <c r="P75">
        <v>4.3</v>
      </c>
      <c r="Q75">
        <v>1</v>
      </c>
      <c r="R75">
        <v>7.5</v>
      </c>
      <c r="S75">
        <v>7.1</v>
      </c>
      <c r="T75">
        <v>8</v>
      </c>
      <c r="U75">
        <v>6.3</v>
      </c>
      <c r="V75">
        <v>9.1</v>
      </c>
      <c r="W75">
        <v>8.9</v>
      </c>
      <c r="X75">
        <v>7</v>
      </c>
      <c r="Y75">
        <v>7.8</v>
      </c>
      <c r="AA75">
        <v>6.9</v>
      </c>
      <c r="AB75">
        <v>7.6</v>
      </c>
      <c r="AC75">
        <v>8.3000000000000007</v>
      </c>
      <c r="AD75">
        <v>7.5</v>
      </c>
      <c r="AE75">
        <v>4.7</v>
      </c>
      <c r="AF75">
        <v>7.4</v>
      </c>
      <c r="AG75">
        <v>7</v>
      </c>
      <c r="AH75">
        <v>8.6999999999999993</v>
      </c>
      <c r="AI75">
        <v>5.9</v>
      </c>
      <c r="AJ75">
        <v>7.1</v>
      </c>
      <c r="AL75">
        <v>5.3</v>
      </c>
      <c r="AM75">
        <v>6.7</v>
      </c>
      <c r="AN75">
        <v>7</v>
      </c>
      <c r="AO75">
        <v>6</v>
      </c>
      <c r="AP75">
        <v>6</v>
      </c>
      <c r="AQ75">
        <v>7.5</v>
      </c>
      <c r="AR75">
        <v>8.3000000000000007</v>
      </c>
      <c r="AS75">
        <v>8.3000000000000007</v>
      </c>
      <c r="AT75" t="s">
        <v>605</v>
      </c>
      <c r="AU75">
        <v>10</v>
      </c>
      <c r="AV75">
        <v>10</v>
      </c>
      <c r="AW75">
        <v>8</v>
      </c>
      <c r="AX75">
        <v>10</v>
      </c>
      <c r="AY75">
        <v>10</v>
      </c>
      <c r="AZ75">
        <v>10</v>
      </c>
      <c r="BA75">
        <v>10</v>
      </c>
      <c r="BB75">
        <v>10</v>
      </c>
      <c r="BC75">
        <v>10</v>
      </c>
      <c r="BD75">
        <v>10</v>
      </c>
      <c r="BE75">
        <v>10</v>
      </c>
      <c r="BF75">
        <v>10</v>
      </c>
      <c r="BG75">
        <v>10</v>
      </c>
      <c r="BH75">
        <v>10</v>
      </c>
      <c r="BI75">
        <v>10</v>
      </c>
      <c r="BJ75">
        <v>10</v>
      </c>
    </row>
    <row r="76" spans="1:62" x14ac:dyDescent="0.35">
      <c r="A76" t="s">
        <v>271</v>
      </c>
      <c r="B76" t="s">
        <v>271</v>
      </c>
      <c r="C76" t="s">
        <v>223</v>
      </c>
      <c r="D76" t="s">
        <v>758</v>
      </c>
      <c r="E76" t="s">
        <v>272</v>
      </c>
      <c r="F76" t="s">
        <v>759</v>
      </c>
      <c r="G76" t="s">
        <v>24</v>
      </c>
      <c r="H76" t="s">
        <v>23</v>
      </c>
      <c r="I76" t="s">
        <v>36</v>
      </c>
      <c r="J76">
        <v>7.7</v>
      </c>
      <c r="L76">
        <v>11</v>
      </c>
      <c r="M76">
        <v>6.9</v>
      </c>
      <c r="N76">
        <v>5.6</v>
      </c>
      <c r="P76">
        <v>6.1</v>
      </c>
      <c r="Q76">
        <v>4.0999999999999996</v>
      </c>
      <c r="R76">
        <v>8.3000000000000007</v>
      </c>
      <c r="S76">
        <v>7.5</v>
      </c>
      <c r="T76">
        <v>6.9</v>
      </c>
      <c r="U76">
        <v>5.9</v>
      </c>
      <c r="V76">
        <v>8.6999999999999993</v>
      </c>
      <c r="W76">
        <v>8.3000000000000007</v>
      </c>
      <c r="X76">
        <v>8.1999999999999993</v>
      </c>
      <c r="Y76">
        <v>8.4</v>
      </c>
      <c r="AA76">
        <v>7.4</v>
      </c>
      <c r="AB76">
        <v>7.4</v>
      </c>
      <c r="AC76" t="s">
        <v>26</v>
      </c>
      <c r="AD76">
        <v>0</v>
      </c>
      <c r="AE76">
        <v>8.3000000000000007</v>
      </c>
      <c r="AF76">
        <v>9.5</v>
      </c>
      <c r="AG76">
        <v>8.5</v>
      </c>
      <c r="AH76">
        <v>8.5</v>
      </c>
      <c r="AI76">
        <v>8.3000000000000007</v>
      </c>
      <c r="AJ76">
        <v>6.7</v>
      </c>
      <c r="AK76" t="s">
        <v>608</v>
      </c>
      <c r="AL76">
        <v>9.3000000000000007</v>
      </c>
      <c r="AM76">
        <v>6.7</v>
      </c>
      <c r="AN76">
        <v>7</v>
      </c>
      <c r="AO76">
        <v>7</v>
      </c>
      <c r="AP76">
        <v>8</v>
      </c>
      <c r="AQ76">
        <v>7.5</v>
      </c>
      <c r="AR76" t="s">
        <v>26</v>
      </c>
      <c r="AS76">
        <v>8.5</v>
      </c>
      <c r="AU76" t="s">
        <v>26</v>
      </c>
      <c r="AV76">
        <v>10</v>
      </c>
      <c r="AW76" t="s">
        <v>26</v>
      </c>
      <c r="AX76">
        <v>10</v>
      </c>
      <c r="AY76" t="s">
        <v>26</v>
      </c>
      <c r="AZ76">
        <v>10</v>
      </c>
      <c r="BA76" t="s">
        <v>26</v>
      </c>
      <c r="BB76">
        <v>10</v>
      </c>
      <c r="BC76" t="s">
        <v>26</v>
      </c>
      <c r="BD76">
        <v>10</v>
      </c>
      <c r="BE76" t="s">
        <v>26</v>
      </c>
      <c r="BF76">
        <v>10</v>
      </c>
      <c r="BG76" t="s">
        <v>26</v>
      </c>
      <c r="BH76">
        <v>10</v>
      </c>
      <c r="BI76" t="s">
        <v>26</v>
      </c>
      <c r="BJ76">
        <v>10</v>
      </c>
    </row>
    <row r="77" spans="1:62" x14ac:dyDescent="0.35">
      <c r="A77" t="s">
        <v>273</v>
      </c>
      <c r="B77" t="s">
        <v>273</v>
      </c>
      <c r="C77" t="s">
        <v>223</v>
      </c>
      <c r="D77" t="s">
        <v>760</v>
      </c>
      <c r="E77" t="s">
        <v>274</v>
      </c>
      <c r="F77" t="s">
        <v>761</v>
      </c>
      <c r="G77" t="s">
        <v>24</v>
      </c>
      <c r="H77" t="s">
        <v>23</v>
      </c>
      <c r="I77" t="s">
        <v>275</v>
      </c>
      <c r="J77">
        <v>5.3</v>
      </c>
      <c r="L77">
        <v>35</v>
      </c>
      <c r="M77">
        <v>2.6</v>
      </c>
      <c r="N77">
        <v>5.6</v>
      </c>
      <c r="P77">
        <v>0</v>
      </c>
      <c r="Q77">
        <v>4.0999999999999996</v>
      </c>
      <c r="R77">
        <v>4.2</v>
      </c>
      <c r="S77">
        <v>7.5</v>
      </c>
      <c r="T77">
        <v>6</v>
      </c>
      <c r="U77">
        <v>5.9</v>
      </c>
      <c r="V77">
        <v>8.1999999999999993</v>
      </c>
      <c r="W77">
        <v>8.3000000000000007</v>
      </c>
      <c r="X77">
        <v>7.6</v>
      </c>
      <c r="Y77">
        <v>8.4</v>
      </c>
      <c r="AA77">
        <v>5.8</v>
      </c>
      <c r="AB77">
        <v>7.4</v>
      </c>
      <c r="AC77" t="s">
        <v>26</v>
      </c>
      <c r="AD77">
        <v>0</v>
      </c>
      <c r="AE77">
        <v>9.1</v>
      </c>
      <c r="AF77">
        <v>9.5</v>
      </c>
      <c r="AG77">
        <v>7.5</v>
      </c>
      <c r="AH77">
        <v>8.5</v>
      </c>
      <c r="AI77">
        <v>6.3</v>
      </c>
      <c r="AJ77">
        <v>6.7</v>
      </c>
      <c r="AL77">
        <v>4.7</v>
      </c>
      <c r="AM77">
        <v>6.7</v>
      </c>
      <c r="AN77">
        <v>6</v>
      </c>
      <c r="AO77">
        <v>7</v>
      </c>
      <c r="AP77">
        <v>8</v>
      </c>
      <c r="AQ77">
        <v>7.5</v>
      </c>
      <c r="AR77" t="s">
        <v>26</v>
      </c>
      <c r="AS77">
        <v>8.5</v>
      </c>
      <c r="AU77" t="s">
        <v>26</v>
      </c>
      <c r="AV77">
        <v>10</v>
      </c>
      <c r="AW77" t="s">
        <v>26</v>
      </c>
      <c r="AX77">
        <v>10</v>
      </c>
      <c r="AY77" t="s">
        <v>26</v>
      </c>
      <c r="AZ77">
        <v>10</v>
      </c>
      <c r="BA77" t="s">
        <v>26</v>
      </c>
      <c r="BB77">
        <v>10</v>
      </c>
      <c r="BC77" t="s">
        <v>26</v>
      </c>
      <c r="BD77">
        <v>10</v>
      </c>
      <c r="BE77" t="s">
        <v>26</v>
      </c>
      <c r="BF77">
        <v>10</v>
      </c>
      <c r="BG77" t="s">
        <v>26</v>
      </c>
      <c r="BH77">
        <v>10</v>
      </c>
      <c r="BI77" t="s">
        <v>26</v>
      </c>
      <c r="BJ77">
        <v>10</v>
      </c>
    </row>
    <row r="78" spans="1:62" x14ac:dyDescent="0.35">
      <c r="A78" t="s">
        <v>341</v>
      </c>
      <c r="B78" t="s">
        <v>762</v>
      </c>
      <c r="C78" t="s">
        <v>319</v>
      </c>
      <c r="D78" t="s">
        <v>763</v>
      </c>
      <c r="E78" t="s">
        <v>342</v>
      </c>
      <c r="F78" t="s">
        <v>764</v>
      </c>
      <c r="G78" t="s">
        <v>57</v>
      </c>
      <c r="H78" t="s">
        <v>23</v>
      </c>
      <c r="I78" t="s">
        <v>343</v>
      </c>
      <c r="J78">
        <v>7.1</v>
      </c>
      <c r="K78" t="s">
        <v>605</v>
      </c>
      <c r="L78">
        <v>6</v>
      </c>
      <c r="M78">
        <v>6.3</v>
      </c>
      <c r="N78">
        <v>3.75</v>
      </c>
      <c r="O78" t="s">
        <v>605</v>
      </c>
      <c r="P78">
        <v>5</v>
      </c>
      <c r="Q78">
        <v>0</v>
      </c>
      <c r="R78">
        <v>8.6999999999999993</v>
      </c>
      <c r="S78">
        <v>7.1</v>
      </c>
      <c r="T78">
        <v>6.9</v>
      </c>
      <c r="U78">
        <v>8</v>
      </c>
      <c r="V78">
        <v>7.9</v>
      </c>
      <c r="W78">
        <v>8.3000000000000007</v>
      </c>
      <c r="X78">
        <v>7.9</v>
      </c>
      <c r="Y78">
        <v>8</v>
      </c>
      <c r="AA78">
        <v>6.2</v>
      </c>
      <c r="AB78">
        <v>7.6</v>
      </c>
      <c r="AC78" t="s">
        <v>26</v>
      </c>
      <c r="AD78">
        <v>0</v>
      </c>
      <c r="AE78">
        <v>9</v>
      </c>
      <c r="AF78">
        <v>8.8000000000000007</v>
      </c>
      <c r="AG78">
        <v>7.5</v>
      </c>
      <c r="AH78">
        <v>7.5</v>
      </c>
      <c r="AI78">
        <v>6.8</v>
      </c>
      <c r="AJ78">
        <v>6.7</v>
      </c>
      <c r="AK78" t="s">
        <v>605</v>
      </c>
      <c r="AL78">
        <v>6</v>
      </c>
      <c r="AM78">
        <v>6.7</v>
      </c>
      <c r="AN78">
        <v>8</v>
      </c>
      <c r="AO78">
        <v>7</v>
      </c>
      <c r="AP78" t="s">
        <v>26</v>
      </c>
      <c r="AQ78">
        <v>6</v>
      </c>
      <c r="AR78" t="s">
        <v>26</v>
      </c>
      <c r="AS78">
        <v>8.5</v>
      </c>
      <c r="AU78" t="s">
        <v>26</v>
      </c>
      <c r="AV78">
        <v>10</v>
      </c>
      <c r="AW78" t="s">
        <v>26</v>
      </c>
      <c r="AX78">
        <v>10</v>
      </c>
      <c r="AY78" t="s">
        <v>26</v>
      </c>
      <c r="AZ78">
        <v>10</v>
      </c>
      <c r="BA78" t="s">
        <v>26</v>
      </c>
      <c r="BB78">
        <v>10</v>
      </c>
      <c r="BC78" t="s">
        <v>26</v>
      </c>
      <c r="BD78">
        <v>10</v>
      </c>
      <c r="BE78" t="s">
        <v>26</v>
      </c>
      <c r="BF78">
        <v>10</v>
      </c>
      <c r="BG78" t="s">
        <v>26</v>
      </c>
      <c r="BH78">
        <v>10</v>
      </c>
      <c r="BI78" t="s">
        <v>26</v>
      </c>
      <c r="BJ78">
        <v>10</v>
      </c>
    </row>
    <row r="79" spans="1:62" x14ac:dyDescent="0.35">
      <c r="A79" t="s">
        <v>177</v>
      </c>
      <c r="B79" t="s">
        <v>177</v>
      </c>
      <c r="C79" t="s">
        <v>135</v>
      </c>
      <c r="D79" t="s">
        <v>765</v>
      </c>
      <c r="E79" t="s">
        <v>178</v>
      </c>
      <c r="F79" t="s">
        <v>766</v>
      </c>
      <c r="G79" t="s">
        <v>39</v>
      </c>
      <c r="H79" t="s">
        <v>23</v>
      </c>
      <c r="I79" t="s">
        <v>36</v>
      </c>
      <c r="J79">
        <v>8.1</v>
      </c>
      <c r="K79" t="s">
        <v>605</v>
      </c>
      <c r="L79">
        <v>6</v>
      </c>
      <c r="M79">
        <v>8.6</v>
      </c>
      <c r="N79">
        <v>4.9000000000000004</v>
      </c>
      <c r="O79" t="s">
        <v>608</v>
      </c>
      <c r="P79">
        <v>9</v>
      </c>
      <c r="Q79">
        <v>3.2</v>
      </c>
      <c r="R79">
        <v>8.6</v>
      </c>
      <c r="S79">
        <v>6</v>
      </c>
      <c r="T79">
        <v>7</v>
      </c>
      <c r="U79">
        <v>6.8</v>
      </c>
      <c r="V79">
        <v>8.6999999999999993</v>
      </c>
      <c r="W79">
        <v>8.5</v>
      </c>
      <c r="X79">
        <v>8.3000000000000007</v>
      </c>
      <c r="Y79">
        <v>8.1999999999999993</v>
      </c>
      <c r="AA79">
        <v>7.6</v>
      </c>
      <c r="AB79">
        <v>7.3</v>
      </c>
      <c r="AC79">
        <v>9</v>
      </c>
      <c r="AD79">
        <v>8.6</v>
      </c>
      <c r="AE79">
        <v>9.8000000000000007</v>
      </c>
      <c r="AF79">
        <v>9.4</v>
      </c>
      <c r="AG79">
        <v>7.3</v>
      </c>
      <c r="AH79">
        <v>8.1999999999999993</v>
      </c>
      <c r="AI79">
        <v>6.5</v>
      </c>
      <c r="AJ79">
        <v>7.1</v>
      </c>
      <c r="AL79">
        <v>6.7</v>
      </c>
      <c r="AM79">
        <v>7.3</v>
      </c>
      <c r="AN79">
        <v>7</v>
      </c>
      <c r="AO79">
        <v>7</v>
      </c>
      <c r="AP79">
        <v>6</v>
      </c>
      <c r="AQ79">
        <v>8</v>
      </c>
      <c r="AR79" t="s">
        <v>26</v>
      </c>
      <c r="AS79">
        <v>8.5</v>
      </c>
      <c r="AU79" t="s">
        <v>26</v>
      </c>
      <c r="AV79">
        <v>10</v>
      </c>
      <c r="AW79" t="s">
        <v>26</v>
      </c>
      <c r="AX79">
        <v>10</v>
      </c>
      <c r="AY79" t="s">
        <v>26</v>
      </c>
      <c r="AZ79">
        <v>10</v>
      </c>
      <c r="BA79" t="s">
        <v>26</v>
      </c>
      <c r="BB79">
        <v>10</v>
      </c>
      <c r="BC79" t="s">
        <v>26</v>
      </c>
      <c r="BD79">
        <v>10</v>
      </c>
      <c r="BE79" t="s">
        <v>26</v>
      </c>
      <c r="BF79">
        <v>10</v>
      </c>
      <c r="BG79" t="s">
        <v>26</v>
      </c>
      <c r="BH79">
        <v>10</v>
      </c>
      <c r="BI79" t="s">
        <v>26</v>
      </c>
      <c r="BJ79">
        <v>10</v>
      </c>
    </row>
    <row r="80" spans="1:62" x14ac:dyDescent="0.35">
      <c r="A80" t="s">
        <v>344</v>
      </c>
      <c r="B80" t="s">
        <v>344</v>
      </c>
      <c r="C80" t="s">
        <v>319</v>
      </c>
      <c r="D80" t="s">
        <v>767</v>
      </c>
      <c r="E80" t="s">
        <v>345</v>
      </c>
      <c r="F80" t="s">
        <v>768</v>
      </c>
      <c r="G80" t="s">
        <v>57</v>
      </c>
      <c r="H80" t="s">
        <v>23</v>
      </c>
      <c r="I80" t="s">
        <v>33</v>
      </c>
      <c r="J80">
        <v>9</v>
      </c>
      <c r="K80" t="s">
        <v>602</v>
      </c>
      <c r="L80">
        <v>1</v>
      </c>
      <c r="M80">
        <v>9.8000000000000007</v>
      </c>
      <c r="N80">
        <v>3.75</v>
      </c>
      <c r="O80" t="s">
        <v>602</v>
      </c>
      <c r="P80">
        <v>10</v>
      </c>
      <c r="Q80">
        <v>0</v>
      </c>
      <c r="R80">
        <v>9.6</v>
      </c>
      <c r="S80">
        <v>7.1</v>
      </c>
      <c r="T80">
        <v>9.6999999999999993</v>
      </c>
      <c r="U80">
        <v>8</v>
      </c>
      <c r="V80">
        <v>9.6999999999999993</v>
      </c>
      <c r="W80">
        <v>8.3000000000000007</v>
      </c>
      <c r="X80">
        <v>9.3000000000000007</v>
      </c>
      <c r="Y80">
        <v>8</v>
      </c>
      <c r="Z80" t="s">
        <v>622</v>
      </c>
      <c r="AA80">
        <v>9.6</v>
      </c>
      <c r="AB80">
        <v>7.6</v>
      </c>
      <c r="AC80" t="s">
        <v>26</v>
      </c>
      <c r="AD80">
        <v>0</v>
      </c>
      <c r="AE80">
        <v>10</v>
      </c>
      <c r="AF80">
        <v>8.8000000000000007</v>
      </c>
      <c r="AG80">
        <v>9</v>
      </c>
      <c r="AH80">
        <v>7.5</v>
      </c>
      <c r="AI80">
        <v>6.7</v>
      </c>
      <c r="AJ80">
        <v>6.7</v>
      </c>
      <c r="AK80" t="s">
        <v>605</v>
      </c>
      <c r="AL80" t="s">
        <v>26</v>
      </c>
      <c r="AM80">
        <v>6.7</v>
      </c>
      <c r="AN80">
        <v>7</v>
      </c>
      <c r="AO80">
        <v>7</v>
      </c>
      <c r="AP80" t="s">
        <v>26</v>
      </c>
      <c r="AQ80">
        <v>6</v>
      </c>
      <c r="AR80">
        <v>8.5</v>
      </c>
      <c r="AS80">
        <v>8.5</v>
      </c>
      <c r="AT80" t="s">
        <v>608</v>
      </c>
      <c r="AU80">
        <v>10</v>
      </c>
      <c r="AV80">
        <v>10</v>
      </c>
      <c r="AW80">
        <v>10</v>
      </c>
      <c r="AX80">
        <v>10</v>
      </c>
      <c r="AY80">
        <v>10</v>
      </c>
      <c r="AZ80">
        <v>10</v>
      </c>
      <c r="BA80">
        <v>10</v>
      </c>
      <c r="BB80">
        <v>10</v>
      </c>
      <c r="BC80">
        <v>10</v>
      </c>
      <c r="BD80">
        <v>10</v>
      </c>
      <c r="BE80">
        <v>10</v>
      </c>
      <c r="BF80">
        <v>10</v>
      </c>
      <c r="BG80">
        <v>10</v>
      </c>
      <c r="BH80">
        <v>10</v>
      </c>
      <c r="BI80">
        <v>10</v>
      </c>
      <c r="BJ80">
        <v>10</v>
      </c>
    </row>
    <row r="81" spans="1:62" x14ac:dyDescent="0.35">
      <c r="A81" t="s">
        <v>276</v>
      </c>
      <c r="B81" t="s">
        <v>276</v>
      </c>
      <c r="C81" t="s">
        <v>223</v>
      </c>
      <c r="D81" t="s">
        <v>769</v>
      </c>
      <c r="E81" t="s">
        <v>277</v>
      </c>
      <c r="F81" t="s">
        <v>770</v>
      </c>
      <c r="G81" t="s">
        <v>39</v>
      </c>
      <c r="H81" t="s">
        <v>23</v>
      </c>
      <c r="I81" t="s">
        <v>42</v>
      </c>
      <c r="J81">
        <v>9</v>
      </c>
      <c r="K81" t="s">
        <v>602</v>
      </c>
      <c r="L81">
        <v>1</v>
      </c>
      <c r="M81">
        <v>9.6</v>
      </c>
      <c r="N81">
        <v>5.6</v>
      </c>
      <c r="O81" t="s">
        <v>602</v>
      </c>
      <c r="P81">
        <v>9.9</v>
      </c>
      <c r="Q81">
        <v>4.0999999999999996</v>
      </c>
      <c r="R81">
        <v>10</v>
      </c>
      <c r="S81">
        <v>7.5</v>
      </c>
      <c r="T81">
        <v>8</v>
      </c>
      <c r="U81">
        <v>5.9</v>
      </c>
      <c r="V81">
        <v>10</v>
      </c>
      <c r="W81">
        <v>8.3000000000000007</v>
      </c>
      <c r="X81">
        <v>10</v>
      </c>
      <c r="Y81">
        <v>8.4</v>
      </c>
      <c r="Z81" t="s">
        <v>602</v>
      </c>
      <c r="AA81">
        <v>10</v>
      </c>
      <c r="AB81">
        <v>7.4</v>
      </c>
      <c r="AC81" t="s">
        <v>26</v>
      </c>
      <c r="AD81">
        <v>0</v>
      </c>
      <c r="AE81">
        <v>10</v>
      </c>
      <c r="AF81">
        <v>9.5</v>
      </c>
      <c r="AG81">
        <v>10</v>
      </c>
      <c r="AH81">
        <v>8.5</v>
      </c>
      <c r="AI81">
        <v>5.7</v>
      </c>
      <c r="AJ81">
        <v>6.7</v>
      </c>
      <c r="AL81">
        <v>3.3</v>
      </c>
      <c r="AM81">
        <v>6.7</v>
      </c>
      <c r="AN81">
        <v>6</v>
      </c>
      <c r="AO81">
        <v>7</v>
      </c>
      <c r="AP81">
        <v>8</v>
      </c>
      <c r="AQ81">
        <v>7.5</v>
      </c>
      <c r="AR81">
        <v>8.1</v>
      </c>
      <c r="AS81">
        <v>8.5</v>
      </c>
      <c r="AU81">
        <v>10</v>
      </c>
      <c r="AV81">
        <v>10</v>
      </c>
      <c r="AW81">
        <v>10</v>
      </c>
      <c r="AX81">
        <v>10</v>
      </c>
      <c r="AY81">
        <v>8</v>
      </c>
      <c r="AZ81">
        <v>10</v>
      </c>
      <c r="BA81">
        <v>10</v>
      </c>
      <c r="BB81">
        <v>10</v>
      </c>
      <c r="BC81">
        <v>10</v>
      </c>
      <c r="BD81">
        <v>10</v>
      </c>
      <c r="BE81">
        <v>10</v>
      </c>
      <c r="BF81">
        <v>10</v>
      </c>
      <c r="BG81">
        <v>10</v>
      </c>
      <c r="BH81">
        <v>10</v>
      </c>
      <c r="BI81">
        <v>8</v>
      </c>
      <c r="BJ81">
        <v>10</v>
      </c>
    </row>
    <row r="82" spans="1:62" x14ac:dyDescent="0.35">
      <c r="A82" t="s">
        <v>69</v>
      </c>
      <c r="B82" t="s">
        <v>69</v>
      </c>
      <c r="C82" t="s">
        <v>21</v>
      </c>
      <c r="D82" t="s">
        <v>771</v>
      </c>
      <c r="E82" t="s">
        <v>70</v>
      </c>
      <c r="F82" t="s">
        <v>772</v>
      </c>
      <c r="G82" t="s">
        <v>39</v>
      </c>
      <c r="H82" t="s">
        <v>23</v>
      </c>
      <c r="I82" t="s">
        <v>33</v>
      </c>
      <c r="J82">
        <v>8</v>
      </c>
      <c r="K82" t="s">
        <v>608</v>
      </c>
      <c r="L82">
        <v>5</v>
      </c>
      <c r="M82">
        <v>7</v>
      </c>
      <c r="N82">
        <v>3.6</v>
      </c>
      <c r="O82" t="s">
        <v>605</v>
      </c>
      <c r="P82">
        <v>7.2</v>
      </c>
      <c r="Q82">
        <v>1</v>
      </c>
      <c r="R82">
        <v>5.3</v>
      </c>
      <c r="S82">
        <v>7.1</v>
      </c>
      <c r="T82">
        <v>7.4</v>
      </c>
      <c r="U82">
        <v>6.3</v>
      </c>
      <c r="V82">
        <v>8.8000000000000007</v>
      </c>
      <c r="W82">
        <v>8.9</v>
      </c>
      <c r="X82">
        <v>9.1999999999999993</v>
      </c>
      <c r="Y82">
        <v>7.8</v>
      </c>
      <c r="Z82" t="s">
        <v>622</v>
      </c>
      <c r="AA82">
        <v>7.5</v>
      </c>
      <c r="AB82">
        <v>7.6</v>
      </c>
      <c r="AC82">
        <v>9.4</v>
      </c>
      <c r="AD82">
        <v>7.5</v>
      </c>
      <c r="AE82">
        <v>9.1999999999999993</v>
      </c>
      <c r="AF82">
        <v>7.4</v>
      </c>
      <c r="AG82">
        <v>9.8000000000000007</v>
      </c>
      <c r="AH82">
        <v>8.6999999999999993</v>
      </c>
      <c r="AI82">
        <v>7.3</v>
      </c>
      <c r="AJ82">
        <v>7.1</v>
      </c>
      <c r="AL82">
        <v>7.3</v>
      </c>
      <c r="AM82">
        <v>6.7</v>
      </c>
      <c r="AN82">
        <v>4</v>
      </c>
      <c r="AO82">
        <v>6</v>
      </c>
      <c r="AP82">
        <v>9</v>
      </c>
      <c r="AQ82">
        <v>7.5</v>
      </c>
      <c r="AR82" t="s">
        <v>26</v>
      </c>
      <c r="AS82">
        <v>8.3000000000000007</v>
      </c>
      <c r="AU82" t="s">
        <v>26</v>
      </c>
      <c r="AV82">
        <v>10</v>
      </c>
      <c r="AW82" t="s">
        <v>26</v>
      </c>
      <c r="AX82">
        <v>10</v>
      </c>
      <c r="AY82" t="s">
        <v>26</v>
      </c>
      <c r="AZ82">
        <v>10</v>
      </c>
      <c r="BA82" t="s">
        <v>26</v>
      </c>
      <c r="BB82">
        <v>10</v>
      </c>
      <c r="BC82" t="s">
        <v>26</v>
      </c>
      <c r="BD82">
        <v>10</v>
      </c>
      <c r="BE82" t="s">
        <v>26</v>
      </c>
      <c r="BF82">
        <v>10</v>
      </c>
      <c r="BG82" t="s">
        <v>26</v>
      </c>
      <c r="BH82">
        <v>10</v>
      </c>
      <c r="BI82" t="s">
        <v>26</v>
      </c>
      <c r="BJ82">
        <v>10</v>
      </c>
    </row>
    <row r="83" spans="1:62" x14ac:dyDescent="0.35">
      <c r="A83" t="s">
        <v>179</v>
      </c>
      <c r="B83" t="s">
        <v>179</v>
      </c>
      <c r="C83" t="s">
        <v>135</v>
      </c>
      <c r="D83" t="s">
        <v>773</v>
      </c>
      <c r="E83" t="s">
        <v>180</v>
      </c>
      <c r="F83" t="s">
        <v>774</v>
      </c>
      <c r="G83" t="s">
        <v>39</v>
      </c>
      <c r="H83" t="s">
        <v>23</v>
      </c>
      <c r="I83" t="s">
        <v>25</v>
      </c>
      <c r="J83">
        <v>5.4</v>
      </c>
      <c r="L83">
        <v>34</v>
      </c>
      <c r="M83">
        <v>2</v>
      </c>
      <c r="N83">
        <v>4.9000000000000004</v>
      </c>
      <c r="P83">
        <v>0</v>
      </c>
      <c r="Q83">
        <v>3.2</v>
      </c>
      <c r="R83">
        <v>0</v>
      </c>
      <c r="S83">
        <v>6</v>
      </c>
      <c r="T83">
        <v>7.2</v>
      </c>
      <c r="U83">
        <v>6.8</v>
      </c>
      <c r="V83">
        <v>8.8000000000000007</v>
      </c>
      <c r="W83">
        <v>8.5</v>
      </c>
      <c r="X83">
        <v>7.9</v>
      </c>
      <c r="Y83">
        <v>8.1999999999999993</v>
      </c>
      <c r="AA83">
        <v>7.1</v>
      </c>
      <c r="AB83">
        <v>7.3</v>
      </c>
      <c r="AC83">
        <v>7.9</v>
      </c>
      <c r="AD83">
        <v>8.6</v>
      </c>
      <c r="AE83">
        <v>9.4</v>
      </c>
      <c r="AF83">
        <v>9.4</v>
      </c>
      <c r="AG83">
        <v>7.5</v>
      </c>
      <c r="AH83">
        <v>8.1999999999999993</v>
      </c>
      <c r="AI83">
        <v>7.5</v>
      </c>
      <c r="AJ83">
        <v>7.1</v>
      </c>
      <c r="AL83">
        <v>7.3</v>
      </c>
      <c r="AM83">
        <v>7.3</v>
      </c>
      <c r="AN83">
        <v>7</v>
      </c>
      <c r="AO83">
        <v>7</v>
      </c>
      <c r="AP83">
        <v>8</v>
      </c>
      <c r="AQ83">
        <v>8</v>
      </c>
      <c r="AR83">
        <v>9.4</v>
      </c>
      <c r="AS83">
        <v>8.5</v>
      </c>
      <c r="AT83" t="s">
        <v>605</v>
      </c>
      <c r="AU83">
        <v>9.4</v>
      </c>
      <c r="AV83">
        <v>10</v>
      </c>
      <c r="AW83">
        <v>9.4</v>
      </c>
      <c r="AX83">
        <v>10</v>
      </c>
      <c r="AY83">
        <v>9.4</v>
      </c>
      <c r="AZ83">
        <v>10</v>
      </c>
      <c r="BA83">
        <v>9.4</v>
      </c>
      <c r="BB83">
        <v>10</v>
      </c>
      <c r="BC83">
        <v>9.4</v>
      </c>
      <c r="BD83">
        <v>10</v>
      </c>
      <c r="BE83">
        <v>8.6</v>
      </c>
      <c r="BF83">
        <v>10</v>
      </c>
      <c r="BG83">
        <v>9.4</v>
      </c>
      <c r="BH83">
        <v>10</v>
      </c>
      <c r="BI83">
        <v>9.4</v>
      </c>
      <c r="BJ83">
        <v>10</v>
      </c>
    </row>
    <row r="84" spans="1:62" x14ac:dyDescent="0.35">
      <c r="A84" t="s">
        <v>194</v>
      </c>
      <c r="B84" t="s">
        <v>194</v>
      </c>
      <c r="C84" t="s">
        <v>135</v>
      </c>
      <c r="D84" t="s">
        <v>775</v>
      </c>
      <c r="E84" t="s">
        <v>195</v>
      </c>
      <c r="F84" t="s">
        <v>776</v>
      </c>
      <c r="G84" t="s">
        <v>39</v>
      </c>
      <c r="H84" t="s">
        <v>23</v>
      </c>
      <c r="I84" t="s">
        <v>33</v>
      </c>
      <c r="J84">
        <v>8.1999999999999993</v>
      </c>
      <c r="K84" t="s">
        <v>608</v>
      </c>
      <c r="L84">
        <v>5</v>
      </c>
      <c r="M84">
        <v>6.6</v>
      </c>
      <c r="N84">
        <v>4.9000000000000004</v>
      </c>
      <c r="P84">
        <v>5</v>
      </c>
      <c r="Q84">
        <v>3.2</v>
      </c>
      <c r="R84">
        <v>9</v>
      </c>
      <c r="S84">
        <v>6</v>
      </c>
      <c r="T84">
        <v>7</v>
      </c>
      <c r="U84">
        <v>6.8</v>
      </c>
      <c r="V84">
        <v>9.6999999999999993</v>
      </c>
      <c r="W84">
        <v>8.5</v>
      </c>
      <c r="X84">
        <v>9.8000000000000007</v>
      </c>
      <c r="Y84">
        <v>8.1999999999999993</v>
      </c>
      <c r="Z84" t="s">
        <v>602</v>
      </c>
      <c r="AA84">
        <v>10</v>
      </c>
      <c r="AB84">
        <v>7.3</v>
      </c>
      <c r="AC84">
        <v>9.9</v>
      </c>
      <c r="AD84">
        <v>8.6</v>
      </c>
      <c r="AE84">
        <v>10</v>
      </c>
      <c r="AF84">
        <v>9.4</v>
      </c>
      <c r="AG84">
        <v>9.5</v>
      </c>
      <c r="AH84">
        <v>8.1999999999999993</v>
      </c>
      <c r="AI84">
        <v>8.3000000000000007</v>
      </c>
      <c r="AJ84">
        <v>7.1</v>
      </c>
      <c r="AK84" t="s">
        <v>662</v>
      </c>
      <c r="AL84">
        <v>8.6999999999999993</v>
      </c>
      <c r="AM84">
        <v>7.3</v>
      </c>
      <c r="AN84">
        <v>6</v>
      </c>
      <c r="AO84">
        <v>7</v>
      </c>
      <c r="AP84">
        <v>9</v>
      </c>
      <c r="AQ84">
        <v>8</v>
      </c>
      <c r="AR84">
        <v>8.8000000000000007</v>
      </c>
      <c r="AS84">
        <v>8.5</v>
      </c>
      <c r="AT84" t="s">
        <v>605</v>
      </c>
      <c r="AU84">
        <v>10</v>
      </c>
      <c r="AV84">
        <v>10</v>
      </c>
      <c r="AW84">
        <v>9</v>
      </c>
      <c r="AX84">
        <v>10</v>
      </c>
      <c r="AY84">
        <v>9</v>
      </c>
      <c r="AZ84">
        <v>10</v>
      </c>
      <c r="BA84">
        <v>9</v>
      </c>
      <c r="BB84">
        <v>10</v>
      </c>
      <c r="BC84">
        <v>8</v>
      </c>
      <c r="BD84">
        <v>10</v>
      </c>
      <c r="BE84">
        <v>9</v>
      </c>
      <c r="BF84">
        <v>10</v>
      </c>
      <c r="BG84">
        <v>9</v>
      </c>
      <c r="BH84">
        <v>10</v>
      </c>
      <c r="BI84">
        <v>9</v>
      </c>
      <c r="BJ84">
        <v>10</v>
      </c>
    </row>
    <row r="85" spans="1:62" x14ac:dyDescent="0.35">
      <c r="A85" t="s">
        <v>316</v>
      </c>
      <c r="B85" t="s">
        <v>316</v>
      </c>
      <c r="C85" t="s">
        <v>223</v>
      </c>
      <c r="D85" t="s">
        <v>777</v>
      </c>
      <c r="E85" t="s">
        <v>317</v>
      </c>
      <c r="F85" t="s">
        <v>778</v>
      </c>
      <c r="G85" t="s">
        <v>24</v>
      </c>
      <c r="H85" t="s">
        <v>23</v>
      </c>
      <c r="I85" t="s">
        <v>185</v>
      </c>
      <c r="J85">
        <v>5.9</v>
      </c>
      <c r="L85">
        <v>30</v>
      </c>
      <c r="M85">
        <v>3.6</v>
      </c>
      <c r="N85">
        <v>5.6</v>
      </c>
      <c r="P85">
        <v>3</v>
      </c>
      <c r="Q85">
        <v>4.0999999999999996</v>
      </c>
      <c r="R85">
        <v>5.8</v>
      </c>
      <c r="S85">
        <v>7.5</v>
      </c>
      <c r="T85">
        <v>0</v>
      </c>
      <c r="U85">
        <v>5.9</v>
      </c>
      <c r="V85">
        <v>8.6</v>
      </c>
      <c r="W85">
        <v>8.3000000000000007</v>
      </c>
      <c r="X85">
        <v>8</v>
      </c>
      <c r="Y85">
        <v>8.4</v>
      </c>
      <c r="AA85">
        <v>5.9</v>
      </c>
      <c r="AB85">
        <v>7.4</v>
      </c>
      <c r="AC85" t="s">
        <v>26</v>
      </c>
      <c r="AD85">
        <v>0</v>
      </c>
      <c r="AE85">
        <v>9.8000000000000007</v>
      </c>
      <c r="AF85">
        <v>9.5</v>
      </c>
      <c r="AG85">
        <v>8</v>
      </c>
      <c r="AH85">
        <v>8.5</v>
      </c>
      <c r="AI85">
        <v>6.3</v>
      </c>
      <c r="AJ85">
        <v>6.7</v>
      </c>
      <c r="AL85">
        <v>5.3</v>
      </c>
      <c r="AM85">
        <v>6.7</v>
      </c>
      <c r="AN85">
        <v>7</v>
      </c>
      <c r="AO85">
        <v>7</v>
      </c>
      <c r="AP85">
        <v>7</v>
      </c>
      <c r="AQ85">
        <v>7.5</v>
      </c>
      <c r="AR85">
        <v>7.9</v>
      </c>
      <c r="AS85">
        <v>8.5</v>
      </c>
      <c r="AU85">
        <v>8</v>
      </c>
      <c r="AV85">
        <v>10</v>
      </c>
      <c r="AW85">
        <v>10</v>
      </c>
      <c r="AX85">
        <v>10</v>
      </c>
      <c r="AY85">
        <v>8</v>
      </c>
      <c r="AZ85">
        <v>10</v>
      </c>
      <c r="BA85">
        <v>10</v>
      </c>
      <c r="BB85">
        <v>10</v>
      </c>
      <c r="BC85">
        <v>8</v>
      </c>
      <c r="BD85">
        <v>10</v>
      </c>
      <c r="BE85">
        <v>10</v>
      </c>
      <c r="BF85">
        <v>10</v>
      </c>
      <c r="BG85">
        <v>10</v>
      </c>
      <c r="BH85">
        <v>10</v>
      </c>
      <c r="BI85">
        <v>10</v>
      </c>
      <c r="BJ85">
        <v>10</v>
      </c>
    </row>
    <row r="86" spans="1:62" x14ac:dyDescent="0.35">
      <c r="A86" t="s">
        <v>316</v>
      </c>
      <c r="B86" t="s">
        <v>316</v>
      </c>
      <c r="C86" t="s">
        <v>366</v>
      </c>
      <c r="D86" t="s">
        <v>777</v>
      </c>
      <c r="E86" t="s">
        <v>317</v>
      </c>
      <c r="F86" t="s">
        <v>778</v>
      </c>
      <c r="G86" t="s">
        <v>24</v>
      </c>
      <c r="H86" t="s">
        <v>23</v>
      </c>
      <c r="I86" t="s">
        <v>185</v>
      </c>
      <c r="J86">
        <v>7.5</v>
      </c>
      <c r="K86" t="s">
        <v>608</v>
      </c>
      <c r="L86">
        <v>5</v>
      </c>
      <c r="M86">
        <v>7</v>
      </c>
      <c r="N86">
        <v>3.35</v>
      </c>
      <c r="O86" t="s">
        <v>608</v>
      </c>
      <c r="P86">
        <v>8.3000000000000007</v>
      </c>
      <c r="Q86">
        <v>0</v>
      </c>
      <c r="R86">
        <v>7.1</v>
      </c>
      <c r="S86">
        <v>7.1</v>
      </c>
      <c r="T86">
        <v>0</v>
      </c>
      <c r="U86">
        <v>7.1</v>
      </c>
      <c r="V86">
        <v>9.8000000000000007</v>
      </c>
      <c r="W86">
        <v>8.9</v>
      </c>
      <c r="X86">
        <v>8.5</v>
      </c>
      <c r="Y86">
        <v>8.6</v>
      </c>
      <c r="AA86">
        <v>6.7</v>
      </c>
      <c r="AB86">
        <v>8.6</v>
      </c>
      <c r="AC86" t="s">
        <v>26</v>
      </c>
      <c r="AD86">
        <v>0</v>
      </c>
      <c r="AE86">
        <v>9.6</v>
      </c>
      <c r="AF86">
        <v>8.9</v>
      </c>
      <c r="AG86">
        <v>8.8000000000000007</v>
      </c>
      <c r="AH86">
        <v>8.6999999999999993</v>
      </c>
      <c r="AI86">
        <v>6.3</v>
      </c>
      <c r="AJ86">
        <v>6.4</v>
      </c>
      <c r="AK86" t="s">
        <v>605</v>
      </c>
      <c r="AL86">
        <v>5.3</v>
      </c>
      <c r="AM86">
        <v>5.3</v>
      </c>
      <c r="AN86">
        <v>7</v>
      </c>
      <c r="AO86">
        <v>7</v>
      </c>
      <c r="AP86">
        <v>7</v>
      </c>
      <c r="AQ86">
        <v>7.5</v>
      </c>
      <c r="AR86">
        <v>7.9</v>
      </c>
      <c r="AS86">
        <v>8.3000000000000007</v>
      </c>
      <c r="AU86">
        <v>8</v>
      </c>
      <c r="AV86">
        <v>10</v>
      </c>
      <c r="AW86">
        <v>10</v>
      </c>
      <c r="AX86">
        <v>10</v>
      </c>
      <c r="AY86">
        <v>8</v>
      </c>
      <c r="AZ86">
        <v>10</v>
      </c>
      <c r="BA86">
        <v>10</v>
      </c>
      <c r="BB86">
        <v>10</v>
      </c>
      <c r="BC86">
        <v>8</v>
      </c>
      <c r="BD86">
        <v>10</v>
      </c>
      <c r="BE86">
        <v>10</v>
      </c>
      <c r="BF86">
        <v>10</v>
      </c>
      <c r="BG86">
        <v>10</v>
      </c>
      <c r="BH86">
        <v>10</v>
      </c>
      <c r="BI86">
        <v>10</v>
      </c>
      <c r="BJ86">
        <v>10</v>
      </c>
    </row>
    <row r="87" spans="1:62" x14ac:dyDescent="0.35">
      <c r="A87" t="s">
        <v>231</v>
      </c>
      <c r="B87" t="s">
        <v>231</v>
      </c>
      <c r="C87" t="s">
        <v>223</v>
      </c>
      <c r="D87" t="s">
        <v>779</v>
      </c>
      <c r="E87" t="s">
        <v>232</v>
      </c>
      <c r="F87" t="s">
        <v>780</v>
      </c>
      <c r="G87" t="s">
        <v>39</v>
      </c>
      <c r="H87" t="s">
        <v>23</v>
      </c>
      <c r="I87" t="s">
        <v>25</v>
      </c>
      <c r="J87">
        <v>7.2</v>
      </c>
      <c r="L87">
        <v>15</v>
      </c>
      <c r="M87">
        <v>6.8</v>
      </c>
      <c r="N87">
        <v>5.6</v>
      </c>
      <c r="P87">
        <v>6.5</v>
      </c>
      <c r="Q87">
        <v>4.0999999999999996</v>
      </c>
      <c r="R87">
        <v>7.5</v>
      </c>
      <c r="S87">
        <v>7.5</v>
      </c>
      <c r="T87">
        <v>5.9</v>
      </c>
      <c r="U87">
        <v>5.9</v>
      </c>
      <c r="V87">
        <v>8.4</v>
      </c>
      <c r="W87">
        <v>8.3000000000000007</v>
      </c>
      <c r="X87">
        <v>7.2</v>
      </c>
      <c r="Y87">
        <v>8.4</v>
      </c>
      <c r="AA87">
        <v>8.1999999999999993</v>
      </c>
      <c r="AB87">
        <v>7.4</v>
      </c>
      <c r="AC87" t="s">
        <v>26</v>
      </c>
      <c r="AD87">
        <v>0</v>
      </c>
      <c r="AE87">
        <v>7.4</v>
      </c>
      <c r="AF87">
        <v>9.5</v>
      </c>
      <c r="AG87">
        <v>6.5</v>
      </c>
      <c r="AH87">
        <v>8.5</v>
      </c>
      <c r="AI87">
        <v>8.1</v>
      </c>
      <c r="AJ87">
        <v>6.7</v>
      </c>
      <c r="AK87" t="s">
        <v>608</v>
      </c>
      <c r="AL87">
        <v>6.7</v>
      </c>
      <c r="AM87">
        <v>6.7</v>
      </c>
      <c r="AN87">
        <v>9</v>
      </c>
      <c r="AO87">
        <v>7</v>
      </c>
      <c r="AP87">
        <v>9</v>
      </c>
      <c r="AQ87">
        <v>7.5</v>
      </c>
      <c r="AR87">
        <v>8.3000000000000007</v>
      </c>
      <c r="AS87">
        <v>8.5</v>
      </c>
      <c r="AU87">
        <v>10</v>
      </c>
      <c r="AV87">
        <v>10</v>
      </c>
      <c r="AW87">
        <v>10</v>
      </c>
      <c r="AX87">
        <v>10</v>
      </c>
      <c r="AY87">
        <v>10</v>
      </c>
      <c r="AZ87">
        <v>10</v>
      </c>
      <c r="BA87">
        <v>8</v>
      </c>
      <c r="BB87">
        <v>10</v>
      </c>
      <c r="BC87">
        <v>10</v>
      </c>
      <c r="BD87">
        <v>10</v>
      </c>
      <c r="BE87">
        <v>10</v>
      </c>
      <c r="BF87">
        <v>10</v>
      </c>
      <c r="BG87">
        <v>10</v>
      </c>
      <c r="BH87">
        <v>10</v>
      </c>
      <c r="BI87">
        <v>10</v>
      </c>
      <c r="BJ87">
        <v>10</v>
      </c>
    </row>
    <row r="88" spans="1:62" x14ac:dyDescent="0.35">
      <c r="A88" t="s">
        <v>132</v>
      </c>
      <c r="B88" t="s">
        <v>132</v>
      </c>
      <c r="C88" t="s">
        <v>110</v>
      </c>
      <c r="D88" t="s">
        <v>781</v>
      </c>
      <c r="E88" t="s">
        <v>133</v>
      </c>
      <c r="F88" t="s">
        <v>782</v>
      </c>
      <c r="G88" t="s">
        <v>39</v>
      </c>
      <c r="H88" t="s">
        <v>23</v>
      </c>
      <c r="I88" t="s">
        <v>48</v>
      </c>
      <c r="J88">
        <v>7</v>
      </c>
      <c r="K88" t="s">
        <v>608</v>
      </c>
      <c r="L88">
        <v>4</v>
      </c>
      <c r="M88">
        <v>6.2</v>
      </c>
      <c r="N88">
        <v>4</v>
      </c>
      <c r="O88" t="s">
        <v>608</v>
      </c>
      <c r="P88">
        <v>5.5</v>
      </c>
      <c r="Q88">
        <v>2.9</v>
      </c>
      <c r="R88">
        <v>6</v>
      </c>
      <c r="S88">
        <v>5.8</v>
      </c>
      <c r="T88">
        <v>6.4</v>
      </c>
      <c r="U88">
        <v>7.5</v>
      </c>
      <c r="V88">
        <v>10</v>
      </c>
      <c r="W88">
        <v>9.3000000000000007</v>
      </c>
      <c r="X88">
        <v>8.3000000000000007</v>
      </c>
      <c r="Y88">
        <v>8.4</v>
      </c>
      <c r="Z88" t="s">
        <v>605</v>
      </c>
      <c r="AA88">
        <v>7.7</v>
      </c>
      <c r="AB88">
        <v>8.5</v>
      </c>
      <c r="AC88">
        <v>7.3</v>
      </c>
      <c r="AD88">
        <v>7.9</v>
      </c>
      <c r="AE88">
        <v>9.8000000000000007</v>
      </c>
      <c r="AF88">
        <v>8.8000000000000007</v>
      </c>
      <c r="AG88">
        <v>8.1999999999999993</v>
      </c>
      <c r="AH88">
        <v>8.6999999999999993</v>
      </c>
      <c r="AI88">
        <v>6</v>
      </c>
      <c r="AJ88">
        <v>6.6</v>
      </c>
      <c r="AK88" t="s">
        <v>605</v>
      </c>
      <c r="AL88">
        <v>6</v>
      </c>
      <c r="AM88">
        <v>6.7</v>
      </c>
      <c r="AN88">
        <v>8</v>
      </c>
      <c r="AO88">
        <v>6</v>
      </c>
      <c r="AP88">
        <v>5</v>
      </c>
      <c r="AQ88">
        <v>7</v>
      </c>
      <c r="AR88">
        <v>8.6999999999999993</v>
      </c>
      <c r="AS88">
        <v>8.6999999999999993</v>
      </c>
      <c r="AT88" t="s">
        <v>662</v>
      </c>
      <c r="AU88">
        <v>9</v>
      </c>
      <c r="AV88">
        <v>9.6</v>
      </c>
      <c r="AW88">
        <v>10</v>
      </c>
      <c r="AX88">
        <v>10</v>
      </c>
      <c r="AY88">
        <v>10</v>
      </c>
      <c r="AZ88">
        <v>10</v>
      </c>
      <c r="BA88">
        <v>10</v>
      </c>
      <c r="BB88">
        <v>10</v>
      </c>
      <c r="BC88">
        <v>8</v>
      </c>
      <c r="BD88">
        <v>10</v>
      </c>
      <c r="BE88">
        <v>10</v>
      </c>
      <c r="BF88">
        <v>10</v>
      </c>
      <c r="BG88">
        <v>7</v>
      </c>
      <c r="BH88">
        <v>10</v>
      </c>
      <c r="BI88">
        <v>7</v>
      </c>
      <c r="BJ88">
        <v>9.6</v>
      </c>
    </row>
    <row r="89" spans="1:62" x14ac:dyDescent="0.35">
      <c r="A89" t="s">
        <v>294</v>
      </c>
      <c r="B89" t="s">
        <v>294</v>
      </c>
      <c r="C89" t="s">
        <v>223</v>
      </c>
      <c r="D89" t="s">
        <v>783</v>
      </c>
      <c r="E89" t="s">
        <v>295</v>
      </c>
      <c r="F89" t="s">
        <v>784</v>
      </c>
      <c r="G89" t="s">
        <v>24</v>
      </c>
      <c r="H89" t="s">
        <v>23</v>
      </c>
      <c r="I89" t="s">
        <v>296</v>
      </c>
      <c r="J89">
        <v>8.6</v>
      </c>
      <c r="K89" t="s">
        <v>608</v>
      </c>
      <c r="L89">
        <v>4</v>
      </c>
      <c r="M89">
        <v>8.3000000000000007</v>
      </c>
      <c r="N89">
        <v>5.6</v>
      </c>
      <c r="O89" t="s">
        <v>608</v>
      </c>
      <c r="P89">
        <v>8.5</v>
      </c>
      <c r="Q89">
        <v>4.0999999999999996</v>
      </c>
      <c r="R89">
        <v>9</v>
      </c>
      <c r="S89">
        <v>7.5</v>
      </c>
      <c r="T89">
        <v>6.4</v>
      </c>
      <c r="U89">
        <v>5.9</v>
      </c>
      <c r="V89">
        <v>8.3000000000000007</v>
      </c>
      <c r="W89">
        <v>8.3000000000000007</v>
      </c>
      <c r="X89">
        <v>9.1</v>
      </c>
      <c r="Y89">
        <v>8.4</v>
      </c>
      <c r="Z89" t="s">
        <v>605</v>
      </c>
      <c r="AA89">
        <v>8.3000000000000007</v>
      </c>
      <c r="AB89">
        <v>7.4</v>
      </c>
      <c r="AC89" t="s">
        <v>26</v>
      </c>
      <c r="AD89">
        <v>0</v>
      </c>
      <c r="AE89">
        <v>9.9</v>
      </c>
      <c r="AF89">
        <v>9.5</v>
      </c>
      <c r="AG89">
        <v>9</v>
      </c>
      <c r="AH89">
        <v>8.5</v>
      </c>
      <c r="AI89">
        <v>8.4</v>
      </c>
      <c r="AJ89">
        <v>6.7</v>
      </c>
      <c r="AK89" t="s">
        <v>662</v>
      </c>
      <c r="AL89">
        <v>8</v>
      </c>
      <c r="AM89">
        <v>6.7</v>
      </c>
      <c r="AN89">
        <v>8</v>
      </c>
      <c r="AO89">
        <v>7</v>
      </c>
      <c r="AP89">
        <v>9</v>
      </c>
      <c r="AQ89">
        <v>7.5</v>
      </c>
      <c r="AR89">
        <v>9.8000000000000007</v>
      </c>
      <c r="AS89">
        <v>8.5</v>
      </c>
      <c r="AT89" t="s">
        <v>602</v>
      </c>
      <c r="AU89">
        <v>10</v>
      </c>
      <c r="AV89">
        <v>10</v>
      </c>
      <c r="AW89">
        <v>10</v>
      </c>
      <c r="AX89">
        <v>10</v>
      </c>
      <c r="AY89">
        <v>10</v>
      </c>
      <c r="AZ89">
        <v>10</v>
      </c>
      <c r="BA89">
        <v>10</v>
      </c>
      <c r="BB89">
        <v>10</v>
      </c>
      <c r="BC89">
        <v>10</v>
      </c>
      <c r="BD89">
        <v>10</v>
      </c>
      <c r="BE89">
        <v>10</v>
      </c>
      <c r="BF89">
        <v>10</v>
      </c>
      <c r="BG89">
        <v>7.6</v>
      </c>
      <c r="BH89">
        <v>10</v>
      </c>
      <c r="BI89">
        <v>10</v>
      </c>
      <c r="BJ89">
        <v>10</v>
      </c>
    </row>
    <row r="90" spans="1:62" x14ac:dyDescent="0.35">
      <c r="A90" t="s">
        <v>181</v>
      </c>
      <c r="B90" t="s">
        <v>181</v>
      </c>
      <c r="C90" t="s">
        <v>135</v>
      </c>
      <c r="D90" t="s">
        <v>785</v>
      </c>
      <c r="E90" t="s">
        <v>182</v>
      </c>
      <c r="F90" t="s">
        <v>786</v>
      </c>
      <c r="G90" t="s">
        <v>39</v>
      </c>
      <c r="H90" t="s">
        <v>23</v>
      </c>
      <c r="I90" t="s">
        <v>42</v>
      </c>
      <c r="J90">
        <v>5.6</v>
      </c>
      <c r="L90">
        <v>32</v>
      </c>
      <c r="M90">
        <v>2.2000000000000002</v>
      </c>
      <c r="N90">
        <v>4.9000000000000004</v>
      </c>
      <c r="P90">
        <v>0</v>
      </c>
      <c r="Q90">
        <v>3.2</v>
      </c>
      <c r="R90">
        <v>4.7</v>
      </c>
      <c r="S90">
        <v>6</v>
      </c>
      <c r="T90">
        <v>3.3</v>
      </c>
      <c r="U90">
        <v>6.8</v>
      </c>
      <c r="V90">
        <v>7.7</v>
      </c>
      <c r="W90">
        <v>8.5</v>
      </c>
      <c r="X90">
        <v>8.5</v>
      </c>
      <c r="Y90">
        <v>8.1999999999999993</v>
      </c>
      <c r="AA90">
        <v>8.3000000000000007</v>
      </c>
      <c r="AB90">
        <v>7.3</v>
      </c>
      <c r="AC90">
        <v>8.8000000000000007</v>
      </c>
      <c r="AD90">
        <v>8.6</v>
      </c>
      <c r="AE90">
        <v>9.8000000000000007</v>
      </c>
      <c r="AF90">
        <v>9.4</v>
      </c>
      <c r="AG90">
        <v>7.8</v>
      </c>
      <c r="AH90">
        <v>8.1999999999999993</v>
      </c>
      <c r="AI90">
        <v>6.3</v>
      </c>
      <c r="AJ90">
        <v>7.1</v>
      </c>
      <c r="AL90">
        <v>5.3</v>
      </c>
      <c r="AM90">
        <v>7.3</v>
      </c>
      <c r="AN90" t="s">
        <v>26</v>
      </c>
      <c r="AO90">
        <v>7</v>
      </c>
      <c r="AP90" t="s">
        <v>26</v>
      </c>
      <c r="AQ90">
        <v>8</v>
      </c>
      <c r="AR90">
        <v>7.2</v>
      </c>
      <c r="AS90">
        <v>8.5</v>
      </c>
      <c r="AU90">
        <v>8</v>
      </c>
      <c r="AV90">
        <v>10</v>
      </c>
      <c r="AW90">
        <v>10</v>
      </c>
      <c r="AX90">
        <v>10</v>
      </c>
      <c r="AY90">
        <v>8</v>
      </c>
      <c r="AZ90">
        <v>10</v>
      </c>
      <c r="BA90">
        <v>8</v>
      </c>
      <c r="BB90">
        <v>10</v>
      </c>
      <c r="BC90">
        <v>8</v>
      </c>
      <c r="BD90">
        <v>10</v>
      </c>
      <c r="BE90">
        <v>8</v>
      </c>
      <c r="BF90">
        <v>10</v>
      </c>
      <c r="BG90">
        <v>8</v>
      </c>
      <c r="BH90">
        <v>10</v>
      </c>
      <c r="BI90">
        <v>8</v>
      </c>
      <c r="BJ90">
        <v>10</v>
      </c>
    </row>
    <row r="91" spans="1:62" x14ac:dyDescent="0.35">
      <c r="A91" t="s">
        <v>278</v>
      </c>
      <c r="B91" t="s">
        <v>278</v>
      </c>
      <c r="C91" t="s">
        <v>223</v>
      </c>
      <c r="D91" t="s">
        <v>787</v>
      </c>
      <c r="E91" t="s">
        <v>279</v>
      </c>
      <c r="F91" t="s">
        <v>788</v>
      </c>
      <c r="G91" t="s">
        <v>24</v>
      </c>
      <c r="H91" t="s">
        <v>23</v>
      </c>
      <c r="I91" t="s">
        <v>25</v>
      </c>
      <c r="J91">
        <v>6.7</v>
      </c>
      <c r="L91">
        <v>23</v>
      </c>
      <c r="M91">
        <v>4.7</v>
      </c>
      <c r="N91">
        <v>5.6</v>
      </c>
      <c r="P91">
        <v>3</v>
      </c>
      <c r="Q91">
        <v>4.0999999999999996</v>
      </c>
      <c r="R91">
        <v>7.5</v>
      </c>
      <c r="S91">
        <v>7.5</v>
      </c>
      <c r="T91">
        <v>5.2</v>
      </c>
      <c r="U91">
        <v>5.9</v>
      </c>
      <c r="V91">
        <v>8.1999999999999993</v>
      </c>
      <c r="W91">
        <v>8.3000000000000007</v>
      </c>
      <c r="X91">
        <v>8.1</v>
      </c>
      <c r="Y91">
        <v>8.4</v>
      </c>
      <c r="AA91">
        <v>6.6</v>
      </c>
      <c r="AB91">
        <v>7.4</v>
      </c>
      <c r="AC91" t="s">
        <v>26</v>
      </c>
      <c r="AD91">
        <v>0</v>
      </c>
      <c r="AE91">
        <v>9.1999999999999993</v>
      </c>
      <c r="AF91">
        <v>9.5</v>
      </c>
      <c r="AG91">
        <v>8</v>
      </c>
      <c r="AH91">
        <v>8.5</v>
      </c>
      <c r="AI91">
        <v>7.9</v>
      </c>
      <c r="AJ91">
        <v>6.7</v>
      </c>
      <c r="AK91" t="s">
        <v>605</v>
      </c>
      <c r="AL91">
        <v>8.6999999999999993</v>
      </c>
      <c r="AM91">
        <v>6.7</v>
      </c>
      <c r="AN91">
        <v>6</v>
      </c>
      <c r="AO91">
        <v>7</v>
      </c>
      <c r="AP91">
        <v>8</v>
      </c>
      <c r="AQ91">
        <v>7.5</v>
      </c>
      <c r="AR91">
        <v>8.5</v>
      </c>
      <c r="AS91">
        <v>8.5</v>
      </c>
      <c r="AU91">
        <v>10</v>
      </c>
      <c r="AV91">
        <v>10</v>
      </c>
      <c r="AW91">
        <v>10</v>
      </c>
      <c r="AX91">
        <v>10</v>
      </c>
      <c r="AY91">
        <v>10</v>
      </c>
      <c r="AZ91">
        <v>10</v>
      </c>
      <c r="BA91">
        <v>10</v>
      </c>
      <c r="BB91">
        <v>10</v>
      </c>
      <c r="BC91">
        <v>10</v>
      </c>
      <c r="BD91">
        <v>10</v>
      </c>
      <c r="BE91">
        <v>10</v>
      </c>
      <c r="BF91">
        <v>10</v>
      </c>
      <c r="BG91">
        <v>10</v>
      </c>
      <c r="BH91">
        <v>10</v>
      </c>
      <c r="BI91">
        <v>10</v>
      </c>
      <c r="BJ91">
        <v>10</v>
      </c>
    </row>
    <row r="92" spans="1:62" x14ac:dyDescent="0.35">
      <c r="A92" t="s">
        <v>186</v>
      </c>
      <c r="B92" t="s">
        <v>186</v>
      </c>
      <c r="C92" t="s">
        <v>135</v>
      </c>
      <c r="D92" t="s">
        <v>789</v>
      </c>
      <c r="E92" t="s">
        <v>187</v>
      </c>
      <c r="F92" t="s">
        <v>790</v>
      </c>
      <c r="G92" t="s">
        <v>24</v>
      </c>
      <c r="H92" t="s">
        <v>791</v>
      </c>
      <c r="I92" t="s">
        <v>36</v>
      </c>
      <c r="J92">
        <v>9.3000000000000007</v>
      </c>
      <c r="K92" t="s">
        <v>602</v>
      </c>
      <c r="L92">
        <v>1</v>
      </c>
      <c r="M92">
        <v>9.6999999999999993</v>
      </c>
      <c r="N92">
        <v>4.9000000000000004</v>
      </c>
      <c r="O92" t="s">
        <v>602</v>
      </c>
      <c r="P92">
        <v>10</v>
      </c>
      <c r="Q92">
        <v>3.2</v>
      </c>
      <c r="R92">
        <v>9.8000000000000007</v>
      </c>
      <c r="S92">
        <v>6</v>
      </c>
      <c r="T92">
        <v>8.9</v>
      </c>
      <c r="U92">
        <v>6.8</v>
      </c>
      <c r="V92">
        <v>9.5</v>
      </c>
      <c r="W92">
        <v>8.5</v>
      </c>
      <c r="X92">
        <v>9.1999999999999993</v>
      </c>
      <c r="Y92">
        <v>8.1999999999999993</v>
      </c>
      <c r="Z92" t="s">
        <v>622</v>
      </c>
      <c r="AA92">
        <v>7.3</v>
      </c>
      <c r="AB92">
        <v>7.3</v>
      </c>
      <c r="AC92">
        <v>9.9</v>
      </c>
      <c r="AD92">
        <v>8.6</v>
      </c>
      <c r="AE92">
        <v>9.9</v>
      </c>
      <c r="AF92">
        <v>9.4</v>
      </c>
      <c r="AG92">
        <v>9.1999999999999993</v>
      </c>
      <c r="AH92">
        <v>8.1999999999999993</v>
      </c>
      <c r="AI92">
        <v>8.6999999999999993</v>
      </c>
      <c r="AJ92">
        <v>7.1</v>
      </c>
      <c r="AK92" t="s">
        <v>602</v>
      </c>
      <c r="AL92">
        <v>7.3</v>
      </c>
      <c r="AM92">
        <v>7.3</v>
      </c>
      <c r="AN92">
        <v>9</v>
      </c>
      <c r="AO92">
        <v>7</v>
      </c>
      <c r="AP92">
        <v>10</v>
      </c>
      <c r="AQ92">
        <v>8</v>
      </c>
      <c r="AR92">
        <v>10</v>
      </c>
      <c r="AS92">
        <v>8.5</v>
      </c>
      <c r="AT92" t="s">
        <v>602</v>
      </c>
      <c r="AU92">
        <v>10</v>
      </c>
      <c r="AV92">
        <v>10</v>
      </c>
      <c r="AW92">
        <v>10</v>
      </c>
      <c r="AX92">
        <v>10</v>
      </c>
      <c r="AY92">
        <v>10</v>
      </c>
      <c r="AZ92">
        <v>10</v>
      </c>
      <c r="BA92">
        <v>10</v>
      </c>
      <c r="BB92">
        <v>10</v>
      </c>
      <c r="BC92">
        <v>10</v>
      </c>
      <c r="BD92">
        <v>10</v>
      </c>
      <c r="BE92">
        <v>10</v>
      </c>
      <c r="BF92">
        <v>10</v>
      </c>
      <c r="BG92">
        <v>10</v>
      </c>
      <c r="BH92">
        <v>10</v>
      </c>
      <c r="BI92">
        <v>10</v>
      </c>
      <c r="BJ92">
        <v>10</v>
      </c>
    </row>
    <row r="93" spans="1:62" x14ac:dyDescent="0.35">
      <c r="A93" t="s">
        <v>188</v>
      </c>
      <c r="B93" t="s">
        <v>188</v>
      </c>
      <c r="C93" t="s">
        <v>135</v>
      </c>
      <c r="D93" t="s">
        <v>792</v>
      </c>
      <c r="E93" t="s">
        <v>189</v>
      </c>
      <c r="F93" t="s">
        <v>793</v>
      </c>
      <c r="G93" t="s">
        <v>39</v>
      </c>
      <c r="H93" t="s">
        <v>23</v>
      </c>
      <c r="I93" t="s">
        <v>48</v>
      </c>
      <c r="J93">
        <v>5.5</v>
      </c>
      <c r="L93">
        <v>33</v>
      </c>
      <c r="M93">
        <v>2.7</v>
      </c>
      <c r="N93">
        <v>4.9000000000000004</v>
      </c>
      <c r="P93">
        <v>0</v>
      </c>
      <c r="Q93">
        <v>3.2</v>
      </c>
      <c r="R93">
        <v>4.7</v>
      </c>
      <c r="S93">
        <v>6</v>
      </c>
      <c r="T93">
        <v>6</v>
      </c>
      <c r="U93">
        <v>6.8</v>
      </c>
      <c r="V93">
        <v>8.3000000000000007</v>
      </c>
      <c r="W93">
        <v>8.5</v>
      </c>
      <c r="X93">
        <v>7.8</v>
      </c>
      <c r="Y93">
        <v>8.1999999999999993</v>
      </c>
      <c r="AA93">
        <v>5.5</v>
      </c>
      <c r="AB93">
        <v>7.3</v>
      </c>
      <c r="AC93">
        <v>8.5</v>
      </c>
      <c r="AD93">
        <v>8.6</v>
      </c>
      <c r="AE93">
        <v>10</v>
      </c>
      <c r="AF93">
        <v>9.4</v>
      </c>
      <c r="AG93">
        <v>7.5</v>
      </c>
      <c r="AH93">
        <v>8.1999999999999993</v>
      </c>
      <c r="AI93">
        <v>6.7</v>
      </c>
      <c r="AJ93">
        <v>7.1</v>
      </c>
      <c r="AL93">
        <v>6.7</v>
      </c>
      <c r="AM93">
        <v>7.3</v>
      </c>
      <c r="AN93">
        <v>8</v>
      </c>
      <c r="AO93">
        <v>7</v>
      </c>
      <c r="AP93">
        <v>6</v>
      </c>
      <c r="AQ93">
        <v>8</v>
      </c>
      <c r="AR93" t="s">
        <v>26</v>
      </c>
      <c r="AS93">
        <v>8.5</v>
      </c>
      <c r="AU93" t="s">
        <v>26</v>
      </c>
      <c r="AV93">
        <v>10</v>
      </c>
      <c r="AW93" t="s">
        <v>26</v>
      </c>
      <c r="AX93">
        <v>10</v>
      </c>
      <c r="AY93" t="s">
        <v>26</v>
      </c>
      <c r="AZ93">
        <v>10</v>
      </c>
      <c r="BA93" t="s">
        <v>26</v>
      </c>
      <c r="BB93">
        <v>10</v>
      </c>
      <c r="BC93" t="s">
        <v>26</v>
      </c>
      <c r="BD93">
        <v>10</v>
      </c>
      <c r="BE93" t="s">
        <v>26</v>
      </c>
      <c r="BF93">
        <v>10</v>
      </c>
      <c r="BG93" t="s">
        <v>26</v>
      </c>
      <c r="BH93">
        <v>10</v>
      </c>
      <c r="BI93" t="s">
        <v>26</v>
      </c>
      <c r="BJ93">
        <v>10</v>
      </c>
    </row>
    <row r="94" spans="1:62" x14ac:dyDescent="0.35">
      <c r="A94" t="s">
        <v>117</v>
      </c>
      <c r="B94" t="s">
        <v>117</v>
      </c>
      <c r="C94" t="s">
        <v>110</v>
      </c>
      <c r="D94" t="s">
        <v>794</v>
      </c>
      <c r="E94" t="s">
        <v>118</v>
      </c>
      <c r="F94" t="s">
        <v>795</v>
      </c>
      <c r="G94" t="s">
        <v>39</v>
      </c>
      <c r="H94" t="s">
        <v>23</v>
      </c>
      <c r="I94" t="s">
        <v>119</v>
      </c>
      <c r="J94">
        <v>6.9</v>
      </c>
      <c r="K94" t="s">
        <v>608</v>
      </c>
      <c r="L94">
        <v>5</v>
      </c>
      <c r="M94">
        <v>6.6</v>
      </c>
      <c r="N94">
        <v>4</v>
      </c>
      <c r="O94" t="s">
        <v>662</v>
      </c>
      <c r="P94">
        <v>5.5</v>
      </c>
      <c r="Q94">
        <v>2.9</v>
      </c>
      <c r="R94">
        <v>7.7</v>
      </c>
      <c r="S94">
        <v>5.8</v>
      </c>
      <c r="T94">
        <v>7.9</v>
      </c>
      <c r="U94">
        <v>7.5</v>
      </c>
      <c r="V94">
        <v>8.5</v>
      </c>
      <c r="W94">
        <v>9.3000000000000007</v>
      </c>
      <c r="X94">
        <v>7.6</v>
      </c>
      <c r="Y94">
        <v>8.4</v>
      </c>
      <c r="Z94" t="s">
        <v>605</v>
      </c>
      <c r="AA94">
        <v>9.6</v>
      </c>
      <c r="AB94">
        <v>8.5</v>
      </c>
      <c r="AC94">
        <v>0</v>
      </c>
      <c r="AD94">
        <v>7.9</v>
      </c>
      <c r="AE94">
        <v>10</v>
      </c>
      <c r="AF94">
        <v>8.8000000000000007</v>
      </c>
      <c r="AG94">
        <v>9.1999999999999993</v>
      </c>
      <c r="AH94">
        <v>8.6999999999999993</v>
      </c>
      <c r="AI94">
        <v>5.9</v>
      </c>
      <c r="AJ94">
        <v>6.6</v>
      </c>
      <c r="AK94" t="s">
        <v>605</v>
      </c>
      <c r="AL94">
        <v>4.7</v>
      </c>
      <c r="AM94">
        <v>6.7</v>
      </c>
      <c r="AN94">
        <v>6</v>
      </c>
      <c r="AO94">
        <v>6</v>
      </c>
      <c r="AP94">
        <v>7</v>
      </c>
      <c r="AQ94">
        <v>7</v>
      </c>
      <c r="AR94" t="s">
        <v>26</v>
      </c>
      <c r="AS94">
        <v>8.6999999999999993</v>
      </c>
      <c r="AU94" t="s">
        <v>26</v>
      </c>
      <c r="AV94">
        <v>9.6</v>
      </c>
      <c r="AW94" t="s">
        <v>26</v>
      </c>
      <c r="AX94">
        <v>10</v>
      </c>
      <c r="AY94" t="s">
        <v>26</v>
      </c>
      <c r="AZ94">
        <v>10</v>
      </c>
      <c r="BA94" t="s">
        <v>26</v>
      </c>
      <c r="BB94">
        <v>10</v>
      </c>
      <c r="BC94" t="s">
        <v>26</v>
      </c>
      <c r="BD94">
        <v>10</v>
      </c>
      <c r="BE94" t="s">
        <v>26</v>
      </c>
      <c r="BF94">
        <v>10</v>
      </c>
      <c r="BG94" t="s">
        <v>26</v>
      </c>
      <c r="BH94">
        <v>10</v>
      </c>
      <c r="BI94" t="s">
        <v>26</v>
      </c>
      <c r="BJ94">
        <v>9.6</v>
      </c>
    </row>
    <row r="95" spans="1:62" x14ac:dyDescent="0.35">
      <c r="A95" t="s">
        <v>71</v>
      </c>
      <c r="B95" t="s">
        <v>71</v>
      </c>
      <c r="C95" t="s">
        <v>21</v>
      </c>
      <c r="D95" t="s">
        <v>796</v>
      </c>
      <c r="E95" t="s">
        <v>72</v>
      </c>
      <c r="F95" t="s">
        <v>797</v>
      </c>
      <c r="G95" t="s">
        <v>39</v>
      </c>
      <c r="H95" t="s">
        <v>23</v>
      </c>
      <c r="I95" t="s">
        <v>73</v>
      </c>
      <c r="J95">
        <v>5.6</v>
      </c>
      <c r="L95">
        <v>24</v>
      </c>
      <c r="M95">
        <v>2.6</v>
      </c>
      <c r="N95">
        <v>3.6</v>
      </c>
      <c r="P95">
        <v>0</v>
      </c>
      <c r="Q95">
        <v>1</v>
      </c>
      <c r="R95">
        <v>3.2</v>
      </c>
      <c r="S95">
        <v>7.1</v>
      </c>
      <c r="T95">
        <v>6.9</v>
      </c>
      <c r="U95">
        <v>6.3</v>
      </c>
      <c r="V95">
        <v>9</v>
      </c>
      <c r="W95">
        <v>8.9</v>
      </c>
      <c r="X95">
        <v>7.6</v>
      </c>
      <c r="Y95">
        <v>7.8</v>
      </c>
      <c r="AA95">
        <v>7.6</v>
      </c>
      <c r="AB95">
        <v>7.6</v>
      </c>
      <c r="AC95">
        <v>9.6999999999999993</v>
      </c>
      <c r="AD95">
        <v>7.5</v>
      </c>
      <c r="AE95">
        <v>0</v>
      </c>
      <c r="AF95">
        <v>7.4</v>
      </c>
      <c r="AG95">
        <v>9</v>
      </c>
      <c r="AH95">
        <v>8.6999999999999993</v>
      </c>
      <c r="AI95">
        <v>7.7</v>
      </c>
      <c r="AJ95">
        <v>7.1</v>
      </c>
      <c r="AK95" t="s">
        <v>608</v>
      </c>
      <c r="AL95">
        <v>7.3</v>
      </c>
      <c r="AM95">
        <v>6.7</v>
      </c>
      <c r="AN95">
        <v>6</v>
      </c>
      <c r="AO95">
        <v>6</v>
      </c>
      <c r="AP95">
        <v>9</v>
      </c>
      <c r="AQ95">
        <v>7.5</v>
      </c>
      <c r="AR95">
        <v>9.1999999999999993</v>
      </c>
      <c r="AS95">
        <v>8.3000000000000007</v>
      </c>
      <c r="AT95" t="s">
        <v>608</v>
      </c>
      <c r="AU95">
        <v>10</v>
      </c>
      <c r="AV95">
        <v>10</v>
      </c>
      <c r="AW95">
        <v>9</v>
      </c>
      <c r="AX95">
        <v>10</v>
      </c>
      <c r="AY95">
        <v>9</v>
      </c>
      <c r="AZ95">
        <v>10</v>
      </c>
      <c r="BA95">
        <v>10</v>
      </c>
      <c r="BB95">
        <v>10</v>
      </c>
      <c r="BC95">
        <v>10</v>
      </c>
      <c r="BD95">
        <v>10</v>
      </c>
      <c r="BE95">
        <v>10</v>
      </c>
      <c r="BF95">
        <v>10</v>
      </c>
      <c r="BG95">
        <v>9</v>
      </c>
      <c r="BH95">
        <v>10</v>
      </c>
      <c r="BI95">
        <v>10</v>
      </c>
      <c r="BJ95">
        <v>10</v>
      </c>
    </row>
    <row r="96" spans="1:62" x14ac:dyDescent="0.35">
      <c r="A96" t="s">
        <v>346</v>
      </c>
      <c r="B96" t="s">
        <v>346</v>
      </c>
      <c r="C96" t="s">
        <v>319</v>
      </c>
      <c r="D96" t="s">
        <v>798</v>
      </c>
      <c r="E96" t="s">
        <v>347</v>
      </c>
      <c r="F96" t="s">
        <v>799</v>
      </c>
      <c r="G96" t="s">
        <v>57</v>
      </c>
      <c r="H96" t="s">
        <v>23</v>
      </c>
      <c r="I96" t="s">
        <v>42</v>
      </c>
      <c r="J96">
        <v>6.7</v>
      </c>
      <c r="K96" t="s">
        <v>605</v>
      </c>
      <c r="L96">
        <v>7</v>
      </c>
      <c r="M96">
        <v>5.4</v>
      </c>
      <c r="N96">
        <v>3.75</v>
      </c>
      <c r="O96" t="s">
        <v>605</v>
      </c>
      <c r="P96">
        <v>3.5</v>
      </c>
      <c r="Q96">
        <v>0</v>
      </c>
      <c r="R96">
        <v>6.6</v>
      </c>
      <c r="S96">
        <v>7.1</v>
      </c>
      <c r="T96">
        <v>9</v>
      </c>
      <c r="U96">
        <v>8</v>
      </c>
      <c r="V96">
        <v>7.8</v>
      </c>
      <c r="W96">
        <v>8.3000000000000007</v>
      </c>
      <c r="X96">
        <v>8.5</v>
      </c>
      <c r="Y96">
        <v>8</v>
      </c>
      <c r="Z96" t="s">
        <v>605</v>
      </c>
      <c r="AA96">
        <v>9.1999999999999993</v>
      </c>
      <c r="AB96">
        <v>7.6</v>
      </c>
      <c r="AC96" t="s">
        <v>26</v>
      </c>
      <c r="AD96">
        <v>0</v>
      </c>
      <c r="AE96">
        <v>9</v>
      </c>
      <c r="AF96">
        <v>8.8000000000000007</v>
      </c>
      <c r="AG96">
        <v>8</v>
      </c>
      <c r="AH96">
        <v>7.5</v>
      </c>
      <c r="AI96">
        <v>5.7</v>
      </c>
      <c r="AJ96">
        <v>6.7</v>
      </c>
      <c r="AL96">
        <v>5.3</v>
      </c>
      <c r="AM96">
        <v>6.7</v>
      </c>
      <c r="AN96">
        <v>6</v>
      </c>
      <c r="AO96">
        <v>7</v>
      </c>
      <c r="AP96">
        <v>6</v>
      </c>
      <c r="AQ96">
        <v>6</v>
      </c>
      <c r="AR96">
        <v>7.9</v>
      </c>
      <c r="AS96">
        <v>8.5</v>
      </c>
      <c r="AT96" t="s">
        <v>605</v>
      </c>
      <c r="AU96">
        <v>10</v>
      </c>
      <c r="AV96">
        <v>10</v>
      </c>
      <c r="AW96">
        <v>8</v>
      </c>
      <c r="AX96">
        <v>10</v>
      </c>
      <c r="AY96">
        <v>8</v>
      </c>
      <c r="AZ96">
        <v>10</v>
      </c>
      <c r="BA96">
        <v>10</v>
      </c>
      <c r="BB96">
        <v>10</v>
      </c>
      <c r="BC96">
        <v>10</v>
      </c>
      <c r="BD96">
        <v>10</v>
      </c>
      <c r="BE96">
        <v>8</v>
      </c>
      <c r="BF96">
        <v>10</v>
      </c>
      <c r="BG96">
        <v>10</v>
      </c>
      <c r="BH96">
        <v>10</v>
      </c>
      <c r="BI96">
        <v>10</v>
      </c>
      <c r="BJ96">
        <v>10</v>
      </c>
    </row>
    <row r="97" spans="1:62" x14ac:dyDescent="0.35">
      <c r="A97" t="s">
        <v>280</v>
      </c>
      <c r="B97" t="s">
        <v>280</v>
      </c>
      <c r="C97" t="s">
        <v>223</v>
      </c>
      <c r="D97" t="s">
        <v>800</v>
      </c>
      <c r="E97" t="s">
        <v>281</v>
      </c>
      <c r="F97" t="s">
        <v>801</v>
      </c>
      <c r="G97" t="s">
        <v>24</v>
      </c>
      <c r="H97" t="s">
        <v>227</v>
      </c>
      <c r="I97" t="s">
        <v>282</v>
      </c>
      <c r="J97">
        <v>5.9</v>
      </c>
      <c r="L97">
        <v>29</v>
      </c>
      <c r="M97">
        <v>2.7</v>
      </c>
      <c r="N97">
        <v>5.6</v>
      </c>
      <c r="P97">
        <v>0</v>
      </c>
      <c r="Q97">
        <v>4.0999999999999996</v>
      </c>
      <c r="R97">
        <v>5.0999999999999996</v>
      </c>
      <c r="S97">
        <v>7.5</v>
      </c>
      <c r="T97">
        <v>5.8</v>
      </c>
      <c r="U97">
        <v>5.9</v>
      </c>
      <c r="V97">
        <v>8.5</v>
      </c>
      <c r="W97">
        <v>8.3000000000000007</v>
      </c>
      <c r="X97">
        <v>8.9</v>
      </c>
      <c r="Y97">
        <v>8.4</v>
      </c>
      <c r="AA97">
        <v>6.4</v>
      </c>
      <c r="AB97">
        <v>7.4</v>
      </c>
      <c r="AC97" t="s">
        <v>26</v>
      </c>
      <c r="AD97">
        <v>0</v>
      </c>
      <c r="AE97">
        <v>6.6</v>
      </c>
      <c r="AF97">
        <v>9.5</v>
      </c>
      <c r="AG97">
        <v>10</v>
      </c>
      <c r="AH97">
        <v>8.5</v>
      </c>
      <c r="AI97">
        <v>6.5</v>
      </c>
      <c r="AJ97">
        <v>6.7</v>
      </c>
      <c r="AL97" t="s">
        <v>26</v>
      </c>
      <c r="AM97">
        <v>6.7</v>
      </c>
      <c r="AN97">
        <v>6</v>
      </c>
      <c r="AO97">
        <v>7</v>
      </c>
      <c r="AP97" t="s">
        <v>26</v>
      </c>
      <c r="AQ97">
        <v>7.5</v>
      </c>
      <c r="AR97" t="s">
        <v>26</v>
      </c>
      <c r="AS97">
        <v>8.5</v>
      </c>
      <c r="AU97" t="s">
        <v>26</v>
      </c>
      <c r="AV97">
        <v>10</v>
      </c>
      <c r="AW97" t="s">
        <v>26</v>
      </c>
      <c r="AX97">
        <v>10</v>
      </c>
      <c r="AY97" t="s">
        <v>26</v>
      </c>
      <c r="AZ97">
        <v>10</v>
      </c>
      <c r="BA97" t="s">
        <v>26</v>
      </c>
      <c r="BB97">
        <v>10</v>
      </c>
      <c r="BC97" t="s">
        <v>26</v>
      </c>
      <c r="BD97">
        <v>10</v>
      </c>
      <c r="BE97" t="s">
        <v>26</v>
      </c>
      <c r="BF97">
        <v>10</v>
      </c>
      <c r="BG97" t="s">
        <v>26</v>
      </c>
      <c r="BH97">
        <v>10</v>
      </c>
      <c r="BI97" t="s">
        <v>26</v>
      </c>
      <c r="BJ97">
        <v>10</v>
      </c>
    </row>
    <row r="98" spans="1:62" x14ac:dyDescent="0.35">
      <c r="A98" t="s">
        <v>120</v>
      </c>
      <c r="B98" t="s">
        <v>120</v>
      </c>
      <c r="C98" t="s">
        <v>110</v>
      </c>
      <c r="D98" t="s">
        <v>802</v>
      </c>
      <c r="E98" t="s">
        <v>121</v>
      </c>
      <c r="F98" t="s">
        <v>803</v>
      </c>
      <c r="G98" t="s">
        <v>39</v>
      </c>
      <c r="H98" t="s">
        <v>23</v>
      </c>
      <c r="I98" t="s">
        <v>119</v>
      </c>
      <c r="J98">
        <v>6.6</v>
      </c>
      <c r="L98">
        <v>6</v>
      </c>
      <c r="M98">
        <v>4</v>
      </c>
      <c r="N98">
        <v>4</v>
      </c>
      <c r="P98">
        <v>2.9</v>
      </c>
      <c r="Q98">
        <v>2.9</v>
      </c>
      <c r="R98">
        <v>2.9</v>
      </c>
      <c r="S98">
        <v>5.8</v>
      </c>
      <c r="T98">
        <v>5.7</v>
      </c>
      <c r="U98">
        <v>7.5</v>
      </c>
      <c r="V98">
        <v>9.1999999999999993</v>
      </c>
      <c r="W98">
        <v>9.3000000000000007</v>
      </c>
      <c r="X98">
        <v>9.5</v>
      </c>
      <c r="Y98">
        <v>8.4</v>
      </c>
      <c r="Z98" t="s">
        <v>602</v>
      </c>
      <c r="AA98">
        <v>10</v>
      </c>
      <c r="AB98">
        <v>8.5</v>
      </c>
      <c r="AC98">
        <v>10</v>
      </c>
      <c r="AD98">
        <v>7.9</v>
      </c>
      <c r="AE98">
        <v>9.9</v>
      </c>
      <c r="AF98">
        <v>8.8000000000000007</v>
      </c>
      <c r="AG98">
        <v>9</v>
      </c>
      <c r="AH98">
        <v>8.6999999999999993</v>
      </c>
      <c r="AI98">
        <v>5.9</v>
      </c>
      <c r="AJ98">
        <v>6.6</v>
      </c>
      <c r="AK98" t="s">
        <v>605</v>
      </c>
      <c r="AL98">
        <v>4.7</v>
      </c>
      <c r="AM98">
        <v>6.7</v>
      </c>
      <c r="AN98">
        <v>6</v>
      </c>
      <c r="AO98">
        <v>6</v>
      </c>
      <c r="AP98">
        <v>7</v>
      </c>
      <c r="AQ98">
        <v>7</v>
      </c>
      <c r="AR98">
        <v>8.5</v>
      </c>
      <c r="AS98">
        <v>8.6999999999999993</v>
      </c>
      <c r="AT98" t="s">
        <v>608</v>
      </c>
      <c r="AU98">
        <v>10</v>
      </c>
      <c r="AV98">
        <v>9.6</v>
      </c>
      <c r="AW98">
        <v>10</v>
      </c>
      <c r="AX98">
        <v>10</v>
      </c>
      <c r="AY98">
        <v>10</v>
      </c>
      <c r="AZ98">
        <v>10</v>
      </c>
      <c r="BA98">
        <v>10</v>
      </c>
      <c r="BB98">
        <v>10</v>
      </c>
      <c r="BC98">
        <v>10</v>
      </c>
      <c r="BD98">
        <v>10</v>
      </c>
      <c r="BE98">
        <v>10</v>
      </c>
      <c r="BF98">
        <v>10</v>
      </c>
      <c r="BG98">
        <v>10</v>
      </c>
      <c r="BH98">
        <v>10</v>
      </c>
      <c r="BI98">
        <v>10</v>
      </c>
      <c r="BJ98">
        <v>9.6</v>
      </c>
    </row>
    <row r="99" spans="1:62" x14ac:dyDescent="0.35">
      <c r="A99" t="s">
        <v>385</v>
      </c>
      <c r="B99" t="s">
        <v>385</v>
      </c>
      <c r="C99" t="s">
        <v>366</v>
      </c>
      <c r="D99" t="s">
        <v>804</v>
      </c>
      <c r="E99" t="s">
        <v>386</v>
      </c>
      <c r="F99" t="s">
        <v>805</v>
      </c>
      <c r="G99" t="s">
        <v>39</v>
      </c>
      <c r="H99" t="s">
        <v>23</v>
      </c>
      <c r="I99" t="s">
        <v>806</v>
      </c>
      <c r="J99">
        <v>5.2</v>
      </c>
      <c r="L99">
        <v>16</v>
      </c>
      <c r="M99">
        <v>1.3</v>
      </c>
      <c r="N99">
        <v>3.35</v>
      </c>
      <c r="P99">
        <v>0</v>
      </c>
      <c r="Q99">
        <v>0</v>
      </c>
      <c r="R99">
        <v>0</v>
      </c>
      <c r="S99">
        <v>7.1</v>
      </c>
      <c r="T99">
        <v>3.2</v>
      </c>
      <c r="U99">
        <v>7.1</v>
      </c>
      <c r="V99">
        <v>8.4</v>
      </c>
      <c r="W99">
        <v>8.9</v>
      </c>
      <c r="X99">
        <v>8.3000000000000007</v>
      </c>
      <c r="Y99">
        <v>8.6</v>
      </c>
      <c r="AA99">
        <v>7.8</v>
      </c>
      <c r="AB99">
        <v>8.6</v>
      </c>
      <c r="AC99" t="s">
        <v>26</v>
      </c>
      <c r="AD99">
        <v>0</v>
      </c>
      <c r="AE99">
        <v>8.4</v>
      </c>
      <c r="AF99">
        <v>8.9</v>
      </c>
      <c r="AG99">
        <v>8.5</v>
      </c>
      <c r="AH99">
        <v>8.6999999999999993</v>
      </c>
      <c r="AI99">
        <v>6.6</v>
      </c>
      <c r="AJ99">
        <v>6.4</v>
      </c>
      <c r="AK99" t="s">
        <v>605</v>
      </c>
      <c r="AL99">
        <v>6</v>
      </c>
      <c r="AM99">
        <v>5.3</v>
      </c>
      <c r="AN99">
        <v>5</v>
      </c>
      <c r="AO99">
        <v>7</v>
      </c>
      <c r="AP99">
        <v>8</v>
      </c>
      <c r="AQ99">
        <v>7.5</v>
      </c>
      <c r="AR99">
        <v>8.1</v>
      </c>
      <c r="AS99">
        <v>8.3000000000000007</v>
      </c>
      <c r="AT99" t="s">
        <v>605</v>
      </c>
      <c r="AU99">
        <v>10</v>
      </c>
      <c r="AV99">
        <v>10</v>
      </c>
      <c r="AW99">
        <v>8</v>
      </c>
      <c r="AX99">
        <v>10</v>
      </c>
      <c r="AY99">
        <v>10</v>
      </c>
      <c r="AZ99">
        <v>10</v>
      </c>
      <c r="BA99">
        <v>10</v>
      </c>
      <c r="BB99">
        <v>10</v>
      </c>
      <c r="BC99">
        <v>10</v>
      </c>
      <c r="BD99">
        <v>10</v>
      </c>
      <c r="BE99">
        <v>10</v>
      </c>
      <c r="BF99">
        <v>10</v>
      </c>
      <c r="BG99">
        <v>8</v>
      </c>
      <c r="BH99">
        <v>10</v>
      </c>
      <c r="BI99">
        <v>10</v>
      </c>
      <c r="BJ99">
        <v>10</v>
      </c>
    </row>
    <row r="100" spans="1:62" x14ac:dyDescent="0.35">
      <c r="A100" t="s">
        <v>74</v>
      </c>
      <c r="B100" t="s">
        <v>74</v>
      </c>
      <c r="C100" t="s">
        <v>21</v>
      </c>
      <c r="D100" t="s">
        <v>807</v>
      </c>
      <c r="E100" t="s">
        <v>75</v>
      </c>
      <c r="F100" t="s">
        <v>808</v>
      </c>
      <c r="G100" t="s">
        <v>39</v>
      </c>
      <c r="H100" t="s">
        <v>60</v>
      </c>
      <c r="I100" t="s">
        <v>73</v>
      </c>
      <c r="J100">
        <v>8.1999999999999993</v>
      </c>
      <c r="K100" t="s">
        <v>662</v>
      </c>
      <c r="L100">
        <v>3</v>
      </c>
      <c r="M100">
        <v>8.3000000000000007</v>
      </c>
      <c r="N100">
        <v>3.6</v>
      </c>
      <c r="O100" t="s">
        <v>602</v>
      </c>
      <c r="P100">
        <v>8.5</v>
      </c>
      <c r="Q100">
        <v>1</v>
      </c>
      <c r="R100">
        <v>9.4</v>
      </c>
      <c r="S100">
        <v>7.1</v>
      </c>
      <c r="T100">
        <v>7.2</v>
      </c>
      <c r="U100">
        <v>6.3</v>
      </c>
      <c r="V100">
        <v>6.9</v>
      </c>
      <c r="W100">
        <v>8.9</v>
      </c>
      <c r="X100">
        <v>9.3000000000000007</v>
      </c>
      <c r="Y100">
        <v>7.8</v>
      </c>
      <c r="Z100" t="s">
        <v>602</v>
      </c>
      <c r="AA100">
        <v>8.1999999999999993</v>
      </c>
      <c r="AB100">
        <v>7.6</v>
      </c>
      <c r="AC100">
        <v>9.6999999999999993</v>
      </c>
      <c r="AD100">
        <v>7.5</v>
      </c>
      <c r="AE100">
        <v>8.8000000000000007</v>
      </c>
      <c r="AF100">
        <v>7.4</v>
      </c>
      <c r="AG100">
        <v>9.6</v>
      </c>
      <c r="AH100">
        <v>8.6999999999999993</v>
      </c>
      <c r="AI100">
        <v>6</v>
      </c>
      <c r="AJ100">
        <v>7.1</v>
      </c>
      <c r="AL100">
        <v>6</v>
      </c>
      <c r="AM100">
        <v>6.7</v>
      </c>
      <c r="AN100">
        <v>4</v>
      </c>
      <c r="AO100">
        <v>6</v>
      </c>
      <c r="AP100">
        <v>7</v>
      </c>
      <c r="AQ100">
        <v>7.5</v>
      </c>
      <c r="AR100">
        <v>10</v>
      </c>
      <c r="AS100">
        <v>8.3000000000000007</v>
      </c>
      <c r="AT100" t="s">
        <v>608</v>
      </c>
      <c r="AU100">
        <v>10</v>
      </c>
      <c r="AV100">
        <v>10</v>
      </c>
      <c r="AW100">
        <v>10</v>
      </c>
      <c r="AX100">
        <v>10</v>
      </c>
      <c r="AY100">
        <v>10</v>
      </c>
      <c r="AZ100">
        <v>10</v>
      </c>
      <c r="BA100">
        <v>10</v>
      </c>
      <c r="BB100">
        <v>10</v>
      </c>
      <c r="BC100">
        <v>10</v>
      </c>
      <c r="BD100">
        <v>10</v>
      </c>
      <c r="BE100">
        <v>10</v>
      </c>
      <c r="BF100">
        <v>10</v>
      </c>
      <c r="BG100">
        <v>10</v>
      </c>
      <c r="BH100">
        <v>10</v>
      </c>
      <c r="BI100">
        <v>10</v>
      </c>
      <c r="BJ100">
        <v>10</v>
      </c>
    </row>
    <row r="101" spans="1:62" x14ac:dyDescent="0.35">
      <c r="A101" t="s">
        <v>286</v>
      </c>
      <c r="B101" t="s">
        <v>286</v>
      </c>
      <c r="C101" t="s">
        <v>223</v>
      </c>
      <c r="D101" t="s">
        <v>809</v>
      </c>
      <c r="E101" t="s">
        <v>287</v>
      </c>
      <c r="F101" t="s">
        <v>810</v>
      </c>
      <c r="G101" t="s">
        <v>24</v>
      </c>
      <c r="H101" t="s">
        <v>60</v>
      </c>
      <c r="I101" t="s">
        <v>73</v>
      </c>
      <c r="J101">
        <v>8.3000000000000007</v>
      </c>
      <c r="K101" t="s">
        <v>605</v>
      </c>
      <c r="L101">
        <v>6</v>
      </c>
      <c r="M101">
        <v>7.9</v>
      </c>
      <c r="N101">
        <v>5.6</v>
      </c>
      <c r="O101" t="s">
        <v>605</v>
      </c>
      <c r="P101">
        <v>8</v>
      </c>
      <c r="Q101">
        <v>4.0999999999999996</v>
      </c>
      <c r="R101">
        <v>9.5</v>
      </c>
      <c r="S101">
        <v>7.5</v>
      </c>
      <c r="T101">
        <v>4.9000000000000004</v>
      </c>
      <c r="U101">
        <v>5.9</v>
      </c>
      <c r="V101">
        <v>8</v>
      </c>
      <c r="W101">
        <v>8.3000000000000007</v>
      </c>
      <c r="X101">
        <v>9</v>
      </c>
      <c r="Y101">
        <v>8.4</v>
      </c>
      <c r="AA101">
        <v>8.5</v>
      </c>
      <c r="AB101">
        <v>7.4</v>
      </c>
      <c r="AC101" t="s">
        <v>26</v>
      </c>
      <c r="AD101">
        <v>0</v>
      </c>
      <c r="AE101">
        <v>9.1</v>
      </c>
      <c r="AF101">
        <v>9.5</v>
      </c>
      <c r="AG101">
        <v>9</v>
      </c>
      <c r="AH101">
        <v>8.5</v>
      </c>
      <c r="AI101">
        <v>7.7</v>
      </c>
      <c r="AJ101">
        <v>6.7</v>
      </c>
      <c r="AK101" t="s">
        <v>605</v>
      </c>
      <c r="AL101">
        <v>6.7</v>
      </c>
      <c r="AM101">
        <v>6.7</v>
      </c>
      <c r="AN101">
        <v>5</v>
      </c>
      <c r="AO101">
        <v>7</v>
      </c>
      <c r="AP101">
        <v>10</v>
      </c>
      <c r="AQ101">
        <v>7.5</v>
      </c>
      <c r="AR101">
        <v>8.8000000000000007</v>
      </c>
      <c r="AS101">
        <v>8.5</v>
      </c>
      <c r="AT101" t="s">
        <v>605</v>
      </c>
      <c r="AU101">
        <v>9</v>
      </c>
      <c r="AV101">
        <v>10</v>
      </c>
      <c r="AW101">
        <v>9</v>
      </c>
      <c r="AX101">
        <v>10</v>
      </c>
      <c r="AY101">
        <v>9</v>
      </c>
      <c r="AZ101">
        <v>10</v>
      </c>
      <c r="BA101">
        <v>9</v>
      </c>
      <c r="BB101">
        <v>10</v>
      </c>
      <c r="BC101">
        <v>9</v>
      </c>
      <c r="BD101">
        <v>10</v>
      </c>
      <c r="BE101">
        <v>9</v>
      </c>
      <c r="BF101">
        <v>10</v>
      </c>
      <c r="BG101">
        <v>9</v>
      </c>
      <c r="BH101">
        <v>10</v>
      </c>
      <c r="BI101">
        <v>9</v>
      </c>
      <c r="BJ101">
        <v>10</v>
      </c>
    </row>
    <row r="102" spans="1:62" x14ac:dyDescent="0.35">
      <c r="A102" t="s">
        <v>348</v>
      </c>
      <c r="B102" t="s">
        <v>348</v>
      </c>
      <c r="C102" t="s">
        <v>319</v>
      </c>
      <c r="D102" t="s">
        <v>811</v>
      </c>
      <c r="E102" t="s">
        <v>349</v>
      </c>
      <c r="F102" t="s">
        <v>812</v>
      </c>
      <c r="G102" t="s">
        <v>39</v>
      </c>
      <c r="H102" t="s">
        <v>23</v>
      </c>
      <c r="I102" t="s">
        <v>36</v>
      </c>
      <c r="J102">
        <v>6.4</v>
      </c>
      <c r="K102" t="s">
        <v>605</v>
      </c>
      <c r="L102">
        <v>10</v>
      </c>
      <c r="M102">
        <v>3.3</v>
      </c>
      <c r="N102">
        <v>3.75</v>
      </c>
      <c r="P102">
        <v>0</v>
      </c>
      <c r="Q102">
        <v>0</v>
      </c>
      <c r="R102">
        <v>7.8</v>
      </c>
      <c r="S102">
        <v>7.1</v>
      </c>
      <c r="T102">
        <v>6.3</v>
      </c>
      <c r="U102">
        <v>8</v>
      </c>
      <c r="V102">
        <v>8.1999999999999993</v>
      </c>
      <c r="W102">
        <v>8.3000000000000007</v>
      </c>
      <c r="X102">
        <v>8.5</v>
      </c>
      <c r="Y102">
        <v>8</v>
      </c>
      <c r="Z102" t="s">
        <v>605</v>
      </c>
      <c r="AA102">
        <v>6.8</v>
      </c>
      <c r="AB102">
        <v>7.6</v>
      </c>
      <c r="AC102" t="s">
        <v>26</v>
      </c>
      <c r="AD102">
        <v>0</v>
      </c>
      <c r="AE102">
        <v>8.3000000000000007</v>
      </c>
      <c r="AF102">
        <v>8.8000000000000007</v>
      </c>
      <c r="AG102">
        <v>9.5</v>
      </c>
      <c r="AH102">
        <v>7.5</v>
      </c>
      <c r="AI102">
        <v>8.3000000000000007</v>
      </c>
      <c r="AJ102">
        <v>6.7</v>
      </c>
      <c r="AK102" t="s">
        <v>602</v>
      </c>
      <c r="AL102">
        <v>6.7</v>
      </c>
      <c r="AM102">
        <v>6.7</v>
      </c>
      <c r="AN102">
        <v>10</v>
      </c>
      <c r="AO102">
        <v>7</v>
      </c>
      <c r="AP102">
        <v>9</v>
      </c>
      <c r="AQ102">
        <v>6</v>
      </c>
      <c r="AR102">
        <v>9</v>
      </c>
      <c r="AS102">
        <v>8.5</v>
      </c>
      <c r="AT102" t="s">
        <v>662</v>
      </c>
      <c r="AU102">
        <v>9</v>
      </c>
      <c r="AV102">
        <v>10</v>
      </c>
      <c r="AW102">
        <v>10</v>
      </c>
      <c r="AX102">
        <v>10</v>
      </c>
      <c r="AY102">
        <v>10</v>
      </c>
      <c r="AZ102">
        <v>10</v>
      </c>
      <c r="BA102">
        <v>10</v>
      </c>
      <c r="BB102">
        <v>10</v>
      </c>
      <c r="BC102">
        <v>9</v>
      </c>
      <c r="BD102">
        <v>10</v>
      </c>
      <c r="BE102">
        <v>9</v>
      </c>
      <c r="BF102">
        <v>10</v>
      </c>
      <c r="BG102">
        <v>8</v>
      </c>
      <c r="BH102">
        <v>10</v>
      </c>
      <c r="BI102">
        <v>10</v>
      </c>
      <c r="BJ102">
        <v>10</v>
      </c>
    </row>
    <row r="103" spans="1:62" x14ac:dyDescent="0.35">
      <c r="A103" t="s">
        <v>265</v>
      </c>
      <c r="B103" t="s">
        <v>265</v>
      </c>
      <c r="C103" t="s">
        <v>223</v>
      </c>
      <c r="D103" t="s">
        <v>813</v>
      </c>
      <c r="E103" t="s">
        <v>266</v>
      </c>
      <c r="F103" t="s">
        <v>814</v>
      </c>
      <c r="G103" t="s">
        <v>24</v>
      </c>
      <c r="H103" t="s">
        <v>242</v>
      </c>
      <c r="I103" t="s">
        <v>244</v>
      </c>
      <c r="J103">
        <v>8.5</v>
      </c>
      <c r="K103" t="s">
        <v>608</v>
      </c>
      <c r="L103">
        <v>5</v>
      </c>
      <c r="M103">
        <v>8.4</v>
      </c>
      <c r="N103">
        <v>5.6</v>
      </c>
      <c r="O103" t="s">
        <v>608</v>
      </c>
      <c r="P103">
        <v>8.3000000000000007</v>
      </c>
      <c r="Q103">
        <v>4.0999999999999996</v>
      </c>
      <c r="R103">
        <v>9.6999999999999993</v>
      </c>
      <c r="S103">
        <v>7.5</v>
      </c>
      <c r="T103">
        <v>6.9</v>
      </c>
      <c r="U103">
        <v>5.9</v>
      </c>
      <c r="V103">
        <v>8.6</v>
      </c>
      <c r="W103">
        <v>8.3000000000000007</v>
      </c>
      <c r="X103">
        <v>9</v>
      </c>
      <c r="Y103">
        <v>8.4</v>
      </c>
      <c r="Z103" t="s">
        <v>605</v>
      </c>
      <c r="AA103">
        <v>7.9</v>
      </c>
      <c r="AB103">
        <v>7.4</v>
      </c>
      <c r="AC103" t="s">
        <v>26</v>
      </c>
      <c r="AD103">
        <v>0</v>
      </c>
      <c r="AE103">
        <v>8.3000000000000007</v>
      </c>
      <c r="AF103">
        <v>9.5</v>
      </c>
      <c r="AG103">
        <v>10</v>
      </c>
      <c r="AH103">
        <v>8.5</v>
      </c>
      <c r="AI103">
        <v>7.6</v>
      </c>
      <c r="AJ103">
        <v>6.7</v>
      </c>
      <c r="AK103" t="s">
        <v>605</v>
      </c>
      <c r="AL103">
        <v>8</v>
      </c>
      <c r="AM103">
        <v>6.7</v>
      </c>
      <c r="AN103">
        <v>8</v>
      </c>
      <c r="AO103">
        <v>7</v>
      </c>
      <c r="AP103">
        <v>7</v>
      </c>
      <c r="AQ103">
        <v>7.5</v>
      </c>
      <c r="AR103">
        <v>9.5</v>
      </c>
      <c r="AS103">
        <v>8.5</v>
      </c>
      <c r="AT103" t="s">
        <v>608</v>
      </c>
      <c r="AU103">
        <v>10</v>
      </c>
      <c r="AV103">
        <v>10</v>
      </c>
      <c r="AW103">
        <v>10</v>
      </c>
      <c r="AX103">
        <v>10</v>
      </c>
      <c r="AY103">
        <v>10</v>
      </c>
      <c r="AZ103">
        <v>10</v>
      </c>
      <c r="BA103">
        <v>10</v>
      </c>
      <c r="BB103">
        <v>10</v>
      </c>
      <c r="BC103">
        <v>10</v>
      </c>
      <c r="BD103">
        <v>10</v>
      </c>
      <c r="BE103">
        <v>10</v>
      </c>
      <c r="BF103">
        <v>10</v>
      </c>
      <c r="BG103">
        <v>10</v>
      </c>
      <c r="BH103">
        <v>10</v>
      </c>
      <c r="BI103">
        <v>10</v>
      </c>
      <c r="BJ103">
        <v>10</v>
      </c>
    </row>
    <row r="104" spans="1:62" x14ac:dyDescent="0.35">
      <c r="A104" t="s">
        <v>190</v>
      </c>
      <c r="B104" t="s">
        <v>190</v>
      </c>
      <c r="C104" t="s">
        <v>135</v>
      </c>
      <c r="D104" t="s">
        <v>815</v>
      </c>
      <c r="E104" t="s">
        <v>191</v>
      </c>
      <c r="F104" t="s">
        <v>816</v>
      </c>
      <c r="G104" t="s">
        <v>39</v>
      </c>
      <c r="H104" t="s">
        <v>23</v>
      </c>
      <c r="I104" t="s">
        <v>48</v>
      </c>
      <c r="J104">
        <v>6.3</v>
      </c>
      <c r="L104">
        <v>22</v>
      </c>
      <c r="M104">
        <v>4.9000000000000004</v>
      </c>
      <c r="N104">
        <v>4.9000000000000004</v>
      </c>
      <c r="P104">
        <v>2.7</v>
      </c>
      <c r="Q104">
        <v>3.2</v>
      </c>
      <c r="R104">
        <v>7.2</v>
      </c>
      <c r="S104">
        <v>6</v>
      </c>
      <c r="T104">
        <v>6.8</v>
      </c>
      <c r="U104">
        <v>6.8</v>
      </c>
      <c r="V104">
        <v>9.1999999999999993</v>
      </c>
      <c r="W104">
        <v>8.5</v>
      </c>
      <c r="X104">
        <v>7.5</v>
      </c>
      <c r="Y104">
        <v>8.1999999999999993</v>
      </c>
      <c r="AA104">
        <v>7.6</v>
      </c>
      <c r="AB104">
        <v>7.3</v>
      </c>
      <c r="AC104">
        <v>9</v>
      </c>
      <c r="AD104">
        <v>8.6</v>
      </c>
      <c r="AE104">
        <v>7.8</v>
      </c>
      <c r="AF104">
        <v>9.4</v>
      </c>
      <c r="AG104">
        <v>5.8</v>
      </c>
      <c r="AH104">
        <v>8.1999999999999993</v>
      </c>
      <c r="AI104">
        <v>6.5</v>
      </c>
      <c r="AJ104">
        <v>7.1</v>
      </c>
      <c r="AL104">
        <v>6.7</v>
      </c>
      <c r="AM104">
        <v>7.3</v>
      </c>
      <c r="AN104">
        <v>5</v>
      </c>
      <c r="AO104">
        <v>7</v>
      </c>
      <c r="AP104">
        <v>7</v>
      </c>
      <c r="AQ104">
        <v>8</v>
      </c>
      <c r="AR104" t="s">
        <v>26</v>
      </c>
      <c r="AS104">
        <v>8.5</v>
      </c>
      <c r="AU104" t="s">
        <v>26</v>
      </c>
      <c r="AV104">
        <v>10</v>
      </c>
      <c r="AW104" t="s">
        <v>26</v>
      </c>
      <c r="AX104">
        <v>10</v>
      </c>
      <c r="AY104" t="s">
        <v>26</v>
      </c>
      <c r="AZ104">
        <v>10</v>
      </c>
      <c r="BA104" t="s">
        <v>26</v>
      </c>
      <c r="BB104">
        <v>10</v>
      </c>
      <c r="BC104" t="s">
        <v>26</v>
      </c>
      <c r="BD104">
        <v>10</v>
      </c>
      <c r="BE104" t="s">
        <v>26</v>
      </c>
      <c r="BF104">
        <v>10</v>
      </c>
      <c r="BG104" t="s">
        <v>26</v>
      </c>
      <c r="BH104">
        <v>10</v>
      </c>
      <c r="BI104" t="s">
        <v>26</v>
      </c>
      <c r="BJ104">
        <v>10</v>
      </c>
    </row>
    <row r="105" spans="1:62" x14ac:dyDescent="0.35">
      <c r="A105" t="s">
        <v>288</v>
      </c>
      <c r="B105" t="s">
        <v>288</v>
      </c>
      <c r="C105" t="s">
        <v>223</v>
      </c>
      <c r="D105" t="s">
        <v>817</v>
      </c>
      <c r="E105" t="s">
        <v>289</v>
      </c>
      <c r="F105" t="s">
        <v>818</v>
      </c>
      <c r="G105" t="s">
        <v>57</v>
      </c>
      <c r="H105" t="s">
        <v>23</v>
      </c>
      <c r="I105" t="s">
        <v>185</v>
      </c>
      <c r="J105">
        <v>7.1</v>
      </c>
      <c r="L105">
        <v>16</v>
      </c>
      <c r="M105">
        <v>6.1</v>
      </c>
      <c r="N105">
        <v>5.6</v>
      </c>
      <c r="P105">
        <v>4.9000000000000004</v>
      </c>
      <c r="Q105">
        <v>4.0999999999999996</v>
      </c>
      <c r="R105">
        <v>8.8000000000000007</v>
      </c>
      <c r="S105">
        <v>7.5</v>
      </c>
      <c r="T105">
        <v>5.8</v>
      </c>
      <c r="U105">
        <v>5.9</v>
      </c>
      <c r="V105">
        <v>7.5</v>
      </c>
      <c r="W105">
        <v>8.3000000000000007</v>
      </c>
      <c r="X105">
        <v>8.5</v>
      </c>
      <c r="Y105">
        <v>8.4</v>
      </c>
      <c r="AA105">
        <v>6.4</v>
      </c>
      <c r="AB105">
        <v>7.4</v>
      </c>
      <c r="AC105" t="s">
        <v>26</v>
      </c>
      <c r="AD105">
        <v>0</v>
      </c>
      <c r="AE105">
        <v>9.5</v>
      </c>
      <c r="AF105">
        <v>9.5</v>
      </c>
      <c r="AG105">
        <v>9</v>
      </c>
      <c r="AH105">
        <v>8.5</v>
      </c>
      <c r="AI105">
        <v>6.5</v>
      </c>
      <c r="AJ105">
        <v>6.7</v>
      </c>
      <c r="AL105">
        <v>4.7</v>
      </c>
      <c r="AM105">
        <v>6.7</v>
      </c>
      <c r="AN105">
        <v>7</v>
      </c>
      <c r="AO105">
        <v>7</v>
      </c>
      <c r="AP105">
        <v>8</v>
      </c>
      <c r="AQ105">
        <v>7.5</v>
      </c>
      <c r="AR105">
        <v>8.5</v>
      </c>
      <c r="AS105">
        <v>8.5</v>
      </c>
      <c r="AU105">
        <v>10</v>
      </c>
      <c r="AV105">
        <v>10</v>
      </c>
      <c r="AW105">
        <v>10</v>
      </c>
      <c r="AX105">
        <v>10</v>
      </c>
      <c r="AY105">
        <v>10</v>
      </c>
      <c r="AZ105">
        <v>10</v>
      </c>
      <c r="BA105">
        <v>10</v>
      </c>
      <c r="BB105">
        <v>10</v>
      </c>
      <c r="BC105">
        <v>10</v>
      </c>
      <c r="BD105">
        <v>10</v>
      </c>
      <c r="BE105">
        <v>10</v>
      </c>
      <c r="BF105">
        <v>10</v>
      </c>
      <c r="BG105">
        <v>10</v>
      </c>
      <c r="BH105">
        <v>10</v>
      </c>
      <c r="BI105">
        <v>10</v>
      </c>
      <c r="BJ105">
        <v>10</v>
      </c>
    </row>
    <row r="106" spans="1:62" x14ac:dyDescent="0.35">
      <c r="A106" t="s">
        <v>388</v>
      </c>
      <c r="B106" t="s">
        <v>819</v>
      </c>
      <c r="C106" t="s">
        <v>366</v>
      </c>
      <c r="D106" t="s">
        <v>820</v>
      </c>
      <c r="E106" t="s">
        <v>389</v>
      </c>
      <c r="F106" t="s">
        <v>821</v>
      </c>
      <c r="G106" t="s">
        <v>24</v>
      </c>
      <c r="H106" t="s">
        <v>60</v>
      </c>
      <c r="I106" t="s">
        <v>390</v>
      </c>
      <c r="J106">
        <v>6.4</v>
      </c>
      <c r="K106" t="s">
        <v>605</v>
      </c>
      <c r="L106">
        <v>7</v>
      </c>
      <c r="M106">
        <v>4.0999999999999996</v>
      </c>
      <c r="N106">
        <v>3.35</v>
      </c>
      <c r="O106" t="s">
        <v>605</v>
      </c>
      <c r="P106">
        <v>0</v>
      </c>
      <c r="Q106">
        <v>0</v>
      </c>
      <c r="R106">
        <v>9.1999999999999993</v>
      </c>
      <c r="S106">
        <v>7.1</v>
      </c>
      <c r="T106">
        <v>9.1</v>
      </c>
      <c r="U106">
        <v>7.1</v>
      </c>
      <c r="V106">
        <v>9.4</v>
      </c>
      <c r="W106">
        <v>8.9</v>
      </c>
      <c r="X106">
        <v>8.5</v>
      </c>
      <c r="Y106">
        <v>8.6</v>
      </c>
      <c r="AA106">
        <v>8.5</v>
      </c>
      <c r="AB106">
        <v>8.6</v>
      </c>
      <c r="AC106" t="s">
        <v>26</v>
      </c>
      <c r="AD106">
        <v>0</v>
      </c>
      <c r="AE106">
        <v>8.4</v>
      </c>
      <c r="AF106">
        <v>8.9</v>
      </c>
      <c r="AG106">
        <v>8.5</v>
      </c>
      <c r="AH106">
        <v>8.6999999999999993</v>
      </c>
      <c r="AI106">
        <v>6.7</v>
      </c>
      <c r="AJ106">
        <v>6.4</v>
      </c>
      <c r="AK106" t="s">
        <v>608</v>
      </c>
      <c r="AL106" t="s">
        <v>26</v>
      </c>
      <c r="AM106">
        <v>5.3</v>
      </c>
      <c r="AN106">
        <v>7</v>
      </c>
      <c r="AO106">
        <v>7</v>
      </c>
      <c r="AP106" t="s">
        <v>26</v>
      </c>
      <c r="AQ106">
        <v>7.5</v>
      </c>
      <c r="AR106" t="s">
        <v>26</v>
      </c>
      <c r="AS106">
        <v>8.3000000000000007</v>
      </c>
      <c r="AU106" t="s">
        <v>26</v>
      </c>
      <c r="AV106">
        <v>10</v>
      </c>
      <c r="AW106" t="s">
        <v>26</v>
      </c>
      <c r="AX106">
        <v>10</v>
      </c>
      <c r="AY106" t="s">
        <v>26</v>
      </c>
      <c r="AZ106">
        <v>10</v>
      </c>
      <c r="BA106" t="s">
        <v>26</v>
      </c>
      <c r="BB106">
        <v>10</v>
      </c>
      <c r="BC106" t="s">
        <v>26</v>
      </c>
      <c r="BD106">
        <v>10</v>
      </c>
      <c r="BE106" t="s">
        <v>26</v>
      </c>
      <c r="BF106">
        <v>10</v>
      </c>
      <c r="BG106" t="s">
        <v>26</v>
      </c>
      <c r="BH106">
        <v>10</v>
      </c>
      <c r="BI106" t="s">
        <v>26</v>
      </c>
      <c r="BJ106">
        <v>10</v>
      </c>
    </row>
    <row r="107" spans="1:62" x14ac:dyDescent="0.35">
      <c r="A107" t="s">
        <v>350</v>
      </c>
      <c r="B107" t="s">
        <v>350</v>
      </c>
      <c r="C107" t="s">
        <v>319</v>
      </c>
      <c r="D107" t="s">
        <v>822</v>
      </c>
      <c r="E107" t="s">
        <v>351</v>
      </c>
      <c r="F107" t="s">
        <v>823</v>
      </c>
      <c r="G107" t="s">
        <v>24</v>
      </c>
      <c r="H107" t="s">
        <v>23</v>
      </c>
      <c r="I107" t="s">
        <v>352</v>
      </c>
      <c r="J107">
        <v>4</v>
      </c>
      <c r="L107">
        <v>19</v>
      </c>
      <c r="M107">
        <v>3.3</v>
      </c>
      <c r="N107">
        <v>3.75</v>
      </c>
      <c r="P107">
        <v>0</v>
      </c>
      <c r="Q107">
        <v>0</v>
      </c>
      <c r="R107">
        <v>7.1</v>
      </c>
      <c r="S107">
        <v>7.1</v>
      </c>
      <c r="T107">
        <v>6.2</v>
      </c>
      <c r="U107">
        <v>8</v>
      </c>
      <c r="V107">
        <v>9.6999999999999993</v>
      </c>
      <c r="W107">
        <v>8.3000000000000007</v>
      </c>
      <c r="X107">
        <v>3.5</v>
      </c>
      <c r="Y107">
        <v>8</v>
      </c>
      <c r="AA107">
        <v>4.0999999999999996</v>
      </c>
      <c r="AB107">
        <v>7.6</v>
      </c>
      <c r="AC107" t="s">
        <v>26</v>
      </c>
      <c r="AD107">
        <v>0</v>
      </c>
      <c r="AE107">
        <v>0</v>
      </c>
      <c r="AF107">
        <v>8.8000000000000007</v>
      </c>
      <c r="AG107">
        <v>5</v>
      </c>
      <c r="AH107">
        <v>7.5</v>
      </c>
      <c r="AI107">
        <v>6.1</v>
      </c>
      <c r="AJ107">
        <v>6.7</v>
      </c>
      <c r="AL107">
        <v>5.3</v>
      </c>
      <c r="AM107">
        <v>6.7</v>
      </c>
      <c r="AN107">
        <v>6</v>
      </c>
      <c r="AO107">
        <v>7</v>
      </c>
      <c r="AP107">
        <v>7</v>
      </c>
      <c r="AQ107">
        <v>6</v>
      </c>
      <c r="AR107">
        <v>8.5</v>
      </c>
      <c r="AS107">
        <v>8.5</v>
      </c>
      <c r="AT107" t="s">
        <v>605</v>
      </c>
      <c r="AU107">
        <v>10</v>
      </c>
      <c r="AV107">
        <v>10</v>
      </c>
      <c r="AW107">
        <v>10</v>
      </c>
      <c r="AX107">
        <v>10</v>
      </c>
      <c r="AY107">
        <v>10</v>
      </c>
      <c r="AZ107">
        <v>10</v>
      </c>
      <c r="BA107">
        <v>10</v>
      </c>
      <c r="BB107">
        <v>10</v>
      </c>
      <c r="BC107">
        <v>10</v>
      </c>
      <c r="BD107">
        <v>10</v>
      </c>
      <c r="BE107">
        <v>10</v>
      </c>
      <c r="BF107">
        <v>10</v>
      </c>
      <c r="BG107">
        <v>10</v>
      </c>
      <c r="BH107">
        <v>10</v>
      </c>
      <c r="BI107">
        <v>10</v>
      </c>
      <c r="BJ107">
        <v>10</v>
      </c>
    </row>
    <row r="108" spans="1:62" x14ac:dyDescent="0.35">
      <c r="A108" t="s">
        <v>290</v>
      </c>
      <c r="B108" t="s">
        <v>290</v>
      </c>
      <c r="C108" t="s">
        <v>223</v>
      </c>
      <c r="D108" t="s">
        <v>824</v>
      </c>
      <c r="E108" t="s">
        <v>291</v>
      </c>
      <c r="F108" t="s">
        <v>825</v>
      </c>
      <c r="G108" t="s">
        <v>24</v>
      </c>
      <c r="H108" t="s">
        <v>23</v>
      </c>
      <c r="I108" t="s">
        <v>36</v>
      </c>
      <c r="J108">
        <v>6.2</v>
      </c>
      <c r="L108">
        <v>26</v>
      </c>
      <c r="M108">
        <v>4.7</v>
      </c>
      <c r="N108">
        <v>5.6</v>
      </c>
      <c r="P108">
        <v>4.0999999999999996</v>
      </c>
      <c r="Q108">
        <v>4.0999999999999996</v>
      </c>
      <c r="R108">
        <v>5.0999999999999996</v>
      </c>
      <c r="S108">
        <v>7.5</v>
      </c>
      <c r="T108">
        <v>4.9000000000000004</v>
      </c>
      <c r="U108">
        <v>5.9</v>
      </c>
      <c r="V108">
        <v>7.3</v>
      </c>
      <c r="W108">
        <v>8.3000000000000007</v>
      </c>
      <c r="X108">
        <v>7.6</v>
      </c>
      <c r="Y108">
        <v>8.4</v>
      </c>
      <c r="AA108">
        <v>7.4</v>
      </c>
      <c r="AB108">
        <v>7.4</v>
      </c>
      <c r="AC108" t="s">
        <v>26</v>
      </c>
      <c r="AD108">
        <v>0</v>
      </c>
      <c r="AE108">
        <v>9.5</v>
      </c>
      <c r="AF108">
        <v>9.5</v>
      </c>
      <c r="AG108">
        <v>6.5</v>
      </c>
      <c r="AH108">
        <v>8.5</v>
      </c>
      <c r="AI108">
        <v>6.5</v>
      </c>
      <c r="AJ108">
        <v>6.7</v>
      </c>
      <c r="AL108">
        <v>7.3</v>
      </c>
      <c r="AM108">
        <v>6.7</v>
      </c>
      <c r="AN108">
        <v>6</v>
      </c>
      <c r="AO108">
        <v>7</v>
      </c>
      <c r="AP108">
        <v>6</v>
      </c>
      <c r="AQ108">
        <v>7.5</v>
      </c>
      <c r="AR108">
        <v>8.3000000000000007</v>
      </c>
      <c r="AS108">
        <v>8.5</v>
      </c>
      <c r="AU108">
        <v>10</v>
      </c>
      <c r="AV108">
        <v>10</v>
      </c>
      <c r="AW108">
        <v>10</v>
      </c>
      <c r="AX108">
        <v>10</v>
      </c>
      <c r="AY108">
        <v>8</v>
      </c>
      <c r="AZ108">
        <v>10</v>
      </c>
      <c r="BA108">
        <v>10</v>
      </c>
      <c r="BB108">
        <v>10</v>
      </c>
      <c r="BC108">
        <v>10</v>
      </c>
      <c r="BD108">
        <v>10</v>
      </c>
      <c r="BE108">
        <v>10</v>
      </c>
      <c r="BF108">
        <v>10</v>
      </c>
      <c r="BG108">
        <v>10</v>
      </c>
      <c r="BH108">
        <v>10</v>
      </c>
      <c r="BI108">
        <v>10</v>
      </c>
      <c r="BJ108">
        <v>10</v>
      </c>
    </row>
    <row r="109" spans="1:62" x14ac:dyDescent="0.35">
      <c r="A109" t="s">
        <v>292</v>
      </c>
      <c r="B109" t="s">
        <v>292</v>
      </c>
      <c r="C109" t="s">
        <v>223</v>
      </c>
      <c r="D109" t="s">
        <v>826</v>
      </c>
      <c r="E109" t="s">
        <v>293</v>
      </c>
      <c r="F109" t="s">
        <v>827</v>
      </c>
      <c r="G109" t="s">
        <v>24</v>
      </c>
      <c r="H109" t="s">
        <v>23</v>
      </c>
      <c r="I109" t="s">
        <v>33</v>
      </c>
      <c r="J109">
        <v>7</v>
      </c>
      <c r="L109">
        <v>17</v>
      </c>
      <c r="M109">
        <v>5.8</v>
      </c>
      <c r="N109">
        <v>5.6</v>
      </c>
      <c r="P109">
        <v>4.9000000000000004</v>
      </c>
      <c r="Q109">
        <v>4.0999999999999996</v>
      </c>
      <c r="R109">
        <v>6.8</v>
      </c>
      <c r="S109">
        <v>7.5</v>
      </c>
      <c r="T109">
        <v>5.6</v>
      </c>
      <c r="U109">
        <v>5.9</v>
      </c>
      <c r="V109">
        <v>8.6999999999999993</v>
      </c>
      <c r="W109">
        <v>8.3000000000000007</v>
      </c>
      <c r="X109">
        <v>8.6</v>
      </c>
      <c r="Y109">
        <v>8.4</v>
      </c>
      <c r="AA109">
        <v>9</v>
      </c>
      <c r="AB109">
        <v>7.4</v>
      </c>
      <c r="AC109" t="s">
        <v>26</v>
      </c>
      <c r="AD109">
        <v>0</v>
      </c>
      <c r="AE109">
        <v>10</v>
      </c>
      <c r="AF109">
        <v>9.5</v>
      </c>
      <c r="AG109">
        <v>7.5</v>
      </c>
      <c r="AH109">
        <v>8.5</v>
      </c>
      <c r="AI109">
        <v>6.3</v>
      </c>
      <c r="AJ109">
        <v>6.7</v>
      </c>
      <c r="AL109">
        <v>5.3</v>
      </c>
      <c r="AM109">
        <v>6.7</v>
      </c>
      <c r="AN109">
        <v>5</v>
      </c>
      <c r="AO109">
        <v>7</v>
      </c>
      <c r="AP109">
        <v>8</v>
      </c>
      <c r="AQ109">
        <v>7.5</v>
      </c>
      <c r="AR109" t="s">
        <v>26</v>
      </c>
      <c r="AS109">
        <v>8.5</v>
      </c>
      <c r="AU109" t="s">
        <v>26</v>
      </c>
      <c r="AV109">
        <v>10</v>
      </c>
      <c r="AW109" t="s">
        <v>26</v>
      </c>
      <c r="AX109">
        <v>10</v>
      </c>
      <c r="AY109" t="s">
        <v>26</v>
      </c>
      <c r="AZ109">
        <v>10</v>
      </c>
      <c r="BA109" t="s">
        <v>26</v>
      </c>
      <c r="BB109">
        <v>10</v>
      </c>
      <c r="BC109" t="s">
        <v>26</v>
      </c>
      <c r="BD109">
        <v>10</v>
      </c>
      <c r="BE109" t="s">
        <v>26</v>
      </c>
      <c r="BF109">
        <v>10</v>
      </c>
      <c r="BG109" t="s">
        <v>26</v>
      </c>
      <c r="BH109">
        <v>10</v>
      </c>
      <c r="BI109" t="s">
        <v>26</v>
      </c>
      <c r="BJ109">
        <v>10</v>
      </c>
    </row>
    <row r="110" spans="1:62" x14ac:dyDescent="0.35">
      <c r="A110" t="s">
        <v>353</v>
      </c>
      <c r="B110" t="s">
        <v>353</v>
      </c>
      <c r="C110" t="s">
        <v>319</v>
      </c>
      <c r="D110" t="s">
        <v>828</v>
      </c>
      <c r="E110" t="s">
        <v>354</v>
      </c>
      <c r="F110" t="s">
        <v>829</v>
      </c>
      <c r="G110" t="s">
        <v>57</v>
      </c>
      <c r="H110" t="s">
        <v>23</v>
      </c>
      <c r="I110" t="s">
        <v>42</v>
      </c>
      <c r="J110">
        <v>6.5</v>
      </c>
      <c r="K110" t="s">
        <v>605</v>
      </c>
      <c r="L110">
        <v>9</v>
      </c>
      <c r="M110">
        <v>8.1</v>
      </c>
      <c r="N110">
        <v>3.75</v>
      </c>
      <c r="O110" t="s">
        <v>662</v>
      </c>
      <c r="P110">
        <v>6.8</v>
      </c>
      <c r="Q110">
        <v>0</v>
      </c>
      <c r="R110">
        <v>10</v>
      </c>
      <c r="S110">
        <v>7.1</v>
      </c>
      <c r="T110">
        <v>8.6999999999999993</v>
      </c>
      <c r="U110">
        <v>8</v>
      </c>
      <c r="V110">
        <v>10</v>
      </c>
      <c r="W110">
        <v>8.3000000000000007</v>
      </c>
      <c r="X110">
        <v>5.6</v>
      </c>
      <c r="Y110">
        <v>8</v>
      </c>
      <c r="AA110">
        <v>8.4</v>
      </c>
      <c r="AB110">
        <v>7.6</v>
      </c>
      <c r="AC110" t="s">
        <v>26</v>
      </c>
      <c r="AD110">
        <v>0</v>
      </c>
      <c r="AE110">
        <v>0</v>
      </c>
      <c r="AF110">
        <v>8.8000000000000007</v>
      </c>
      <c r="AG110">
        <v>7</v>
      </c>
      <c r="AH110">
        <v>7.5</v>
      </c>
      <c r="AI110">
        <v>5.2</v>
      </c>
      <c r="AJ110">
        <v>6.7</v>
      </c>
      <c r="AL110">
        <v>4</v>
      </c>
      <c r="AM110">
        <v>6.7</v>
      </c>
      <c r="AN110">
        <v>4</v>
      </c>
      <c r="AO110">
        <v>7</v>
      </c>
      <c r="AP110">
        <v>7</v>
      </c>
      <c r="AQ110">
        <v>6</v>
      </c>
      <c r="AR110" t="s">
        <v>26</v>
      </c>
      <c r="AS110">
        <v>8.5</v>
      </c>
      <c r="AU110" t="s">
        <v>26</v>
      </c>
      <c r="AV110">
        <v>10</v>
      </c>
      <c r="AW110" t="s">
        <v>26</v>
      </c>
      <c r="AX110">
        <v>10</v>
      </c>
      <c r="AY110" t="s">
        <v>26</v>
      </c>
      <c r="AZ110">
        <v>10</v>
      </c>
      <c r="BA110" t="s">
        <v>26</v>
      </c>
      <c r="BB110">
        <v>10</v>
      </c>
      <c r="BC110" t="s">
        <v>26</v>
      </c>
      <c r="BD110">
        <v>10</v>
      </c>
      <c r="BE110" t="s">
        <v>26</v>
      </c>
      <c r="BF110">
        <v>10</v>
      </c>
      <c r="BG110" t="s">
        <v>26</v>
      </c>
      <c r="BH110">
        <v>10</v>
      </c>
      <c r="BI110" t="s">
        <v>26</v>
      </c>
      <c r="BJ110">
        <v>10</v>
      </c>
    </row>
    <row r="111" spans="1:62" x14ac:dyDescent="0.35">
      <c r="A111" t="s">
        <v>196</v>
      </c>
      <c r="B111" t="s">
        <v>196</v>
      </c>
      <c r="C111" t="s">
        <v>135</v>
      </c>
      <c r="D111" t="s">
        <v>830</v>
      </c>
      <c r="E111" t="s">
        <v>197</v>
      </c>
      <c r="F111" t="s">
        <v>831</v>
      </c>
      <c r="G111" t="s">
        <v>39</v>
      </c>
      <c r="H111" t="s">
        <v>23</v>
      </c>
      <c r="I111" t="s">
        <v>166</v>
      </c>
      <c r="J111">
        <v>8.5</v>
      </c>
      <c r="K111" t="s">
        <v>608</v>
      </c>
      <c r="L111">
        <v>4</v>
      </c>
      <c r="M111">
        <v>8.5</v>
      </c>
      <c r="N111">
        <v>4.9000000000000004</v>
      </c>
      <c r="O111" t="s">
        <v>608</v>
      </c>
      <c r="P111">
        <v>8.1999999999999993</v>
      </c>
      <c r="Q111">
        <v>3.2</v>
      </c>
      <c r="R111">
        <v>10</v>
      </c>
      <c r="S111">
        <v>6</v>
      </c>
      <c r="T111">
        <v>7.9</v>
      </c>
      <c r="U111">
        <v>6.8</v>
      </c>
      <c r="V111">
        <v>8</v>
      </c>
      <c r="W111">
        <v>8.5</v>
      </c>
      <c r="X111">
        <v>9</v>
      </c>
      <c r="Y111">
        <v>8.1999999999999993</v>
      </c>
      <c r="Z111" t="s">
        <v>605</v>
      </c>
      <c r="AA111">
        <v>6.3</v>
      </c>
      <c r="AB111">
        <v>7.3</v>
      </c>
      <c r="AC111">
        <v>10</v>
      </c>
      <c r="AD111">
        <v>8.6</v>
      </c>
      <c r="AE111">
        <v>10</v>
      </c>
      <c r="AF111">
        <v>9.4</v>
      </c>
      <c r="AG111">
        <v>9.1999999999999993</v>
      </c>
      <c r="AH111">
        <v>8.1999999999999993</v>
      </c>
      <c r="AI111">
        <v>7.3</v>
      </c>
      <c r="AJ111">
        <v>7.1</v>
      </c>
      <c r="AL111">
        <v>6.7</v>
      </c>
      <c r="AM111">
        <v>7.3</v>
      </c>
      <c r="AN111">
        <v>7</v>
      </c>
      <c r="AO111">
        <v>7</v>
      </c>
      <c r="AP111">
        <v>8</v>
      </c>
      <c r="AQ111">
        <v>8</v>
      </c>
      <c r="AR111">
        <v>8.5</v>
      </c>
      <c r="AS111">
        <v>8.5</v>
      </c>
      <c r="AT111" t="s">
        <v>605</v>
      </c>
      <c r="AU111">
        <v>10</v>
      </c>
      <c r="AV111">
        <v>10</v>
      </c>
      <c r="AW111">
        <v>10</v>
      </c>
      <c r="AX111">
        <v>10</v>
      </c>
      <c r="AY111">
        <v>10</v>
      </c>
      <c r="AZ111">
        <v>10</v>
      </c>
      <c r="BA111">
        <v>10</v>
      </c>
      <c r="BB111">
        <v>10</v>
      </c>
      <c r="BC111">
        <v>10</v>
      </c>
      <c r="BD111">
        <v>10</v>
      </c>
      <c r="BE111">
        <v>10</v>
      </c>
      <c r="BF111">
        <v>10</v>
      </c>
      <c r="BG111">
        <v>10</v>
      </c>
      <c r="BH111">
        <v>10</v>
      </c>
      <c r="BI111">
        <v>10</v>
      </c>
      <c r="BJ111">
        <v>10</v>
      </c>
    </row>
    <row r="112" spans="1:62" x14ac:dyDescent="0.35">
      <c r="A112" t="s">
        <v>391</v>
      </c>
      <c r="B112" t="s">
        <v>391</v>
      </c>
      <c r="C112" t="s">
        <v>366</v>
      </c>
      <c r="D112" t="s">
        <v>832</v>
      </c>
      <c r="E112" t="s">
        <v>392</v>
      </c>
      <c r="F112" t="s">
        <v>833</v>
      </c>
      <c r="G112" t="s">
        <v>39</v>
      </c>
      <c r="H112" t="s">
        <v>23</v>
      </c>
      <c r="I112" t="s">
        <v>185</v>
      </c>
      <c r="J112">
        <v>9.1</v>
      </c>
      <c r="K112" t="s">
        <v>602</v>
      </c>
      <c r="L112">
        <v>1</v>
      </c>
      <c r="M112">
        <v>9.3000000000000007</v>
      </c>
      <c r="N112">
        <v>3.35</v>
      </c>
      <c r="O112" t="s">
        <v>602</v>
      </c>
      <c r="P112">
        <v>9</v>
      </c>
      <c r="Q112">
        <v>0</v>
      </c>
      <c r="R112">
        <v>9.6</v>
      </c>
      <c r="S112">
        <v>7.1</v>
      </c>
      <c r="T112">
        <v>9.8000000000000007</v>
      </c>
      <c r="U112">
        <v>7.1</v>
      </c>
      <c r="V112">
        <v>10</v>
      </c>
      <c r="W112">
        <v>8.9</v>
      </c>
      <c r="X112">
        <v>9.8000000000000007</v>
      </c>
      <c r="Y112">
        <v>8.6</v>
      </c>
      <c r="Z112" t="s">
        <v>622</v>
      </c>
      <c r="AA112">
        <v>10</v>
      </c>
      <c r="AB112">
        <v>8.6</v>
      </c>
      <c r="AC112" t="s">
        <v>26</v>
      </c>
      <c r="AD112">
        <v>0</v>
      </c>
      <c r="AE112">
        <v>10</v>
      </c>
      <c r="AF112">
        <v>8.9</v>
      </c>
      <c r="AG112">
        <v>9.6</v>
      </c>
      <c r="AH112">
        <v>8.6999999999999993</v>
      </c>
      <c r="AI112">
        <v>7.2</v>
      </c>
      <c r="AJ112">
        <v>6.4</v>
      </c>
      <c r="AK112" t="s">
        <v>608</v>
      </c>
      <c r="AL112">
        <v>6</v>
      </c>
      <c r="AM112">
        <v>5.3</v>
      </c>
      <c r="AN112">
        <v>6</v>
      </c>
      <c r="AO112">
        <v>7</v>
      </c>
      <c r="AP112">
        <v>9</v>
      </c>
      <c r="AQ112">
        <v>7.5</v>
      </c>
      <c r="AR112">
        <v>8.5</v>
      </c>
      <c r="AS112">
        <v>8.3000000000000007</v>
      </c>
      <c r="AT112" t="s">
        <v>662</v>
      </c>
      <c r="AU112">
        <v>10</v>
      </c>
      <c r="AV112">
        <v>10</v>
      </c>
      <c r="AW112">
        <v>10</v>
      </c>
      <c r="AX112">
        <v>10</v>
      </c>
      <c r="AY112">
        <v>10</v>
      </c>
      <c r="AZ112">
        <v>10</v>
      </c>
      <c r="BA112">
        <v>10</v>
      </c>
      <c r="BB112">
        <v>10</v>
      </c>
      <c r="BC112">
        <v>10</v>
      </c>
      <c r="BD112">
        <v>10</v>
      </c>
      <c r="BE112">
        <v>10</v>
      </c>
      <c r="BF112">
        <v>10</v>
      </c>
      <c r="BG112">
        <v>10</v>
      </c>
      <c r="BH112">
        <v>10</v>
      </c>
      <c r="BI112">
        <v>10</v>
      </c>
      <c r="BJ112">
        <v>10</v>
      </c>
    </row>
    <row r="113" spans="1:62" x14ac:dyDescent="0.35">
      <c r="A113" t="s">
        <v>80</v>
      </c>
      <c r="B113" t="s">
        <v>80</v>
      </c>
      <c r="C113" t="s">
        <v>21</v>
      </c>
      <c r="D113" t="s">
        <v>834</v>
      </c>
      <c r="E113" t="s">
        <v>81</v>
      </c>
      <c r="F113" t="s">
        <v>835</v>
      </c>
      <c r="G113" t="s">
        <v>24</v>
      </c>
      <c r="H113" t="s">
        <v>23</v>
      </c>
      <c r="I113" t="s">
        <v>25</v>
      </c>
      <c r="J113">
        <v>8.3000000000000007</v>
      </c>
      <c r="K113" t="s">
        <v>602</v>
      </c>
      <c r="L113">
        <v>1</v>
      </c>
      <c r="M113">
        <v>8.1999999999999993</v>
      </c>
      <c r="N113">
        <v>3.6</v>
      </c>
      <c r="O113" t="s">
        <v>608</v>
      </c>
      <c r="P113">
        <v>8.5</v>
      </c>
      <c r="Q113">
        <v>1</v>
      </c>
      <c r="R113">
        <v>9.1999999999999993</v>
      </c>
      <c r="S113">
        <v>7.1</v>
      </c>
      <c r="T113">
        <v>6.1</v>
      </c>
      <c r="U113">
        <v>6.3</v>
      </c>
      <c r="V113">
        <v>8.1999999999999993</v>
      </c>
      <c r="W113">
        <v>8.9</v>
      </c>
      <c r="X113">
        <v>8.9</v>
      </c>
      <c r="Y113">
        <v>7.8</v>
      </c>
      <c r="Z113" t="s">
        <v>662</v>
      </c>
      <c r="AA113">
        <v>9.4</v>
      </c>
      <c r="AB113">
        <v>7.6</v>
      </c>
      <c r="AC113">
        <v>7.2</v>
      </c>
      <c r="AD113">
        <v>7.5</v>
      </c>
      <c r="AE113">
        <v>8.9</v>
      </c>
      <c r="AF113">
        <v>7.4</v>
      </c>
      <c r="AG113">
        <v>9.6</v>
      </c>
      <c r="AH113">
        <v>8.6999999999999993</v>
      </c>
      <c r="AI113">
        <v>7.4</v>
      </c>
      <c r="AJ113">
        <v>7.1</v>
      </c>
      <c r="AK113" t="s">
        <v>605</v>
      </c>
      <c r="AL113">
        <v>8</v>
      </c>
      <c r="AM113">
        <v>6.7</v>
      </c>
      <c r="AN113">
        <v>7</v>
      </c>
      <c r="AO113">
        <v>6</v>
      </c>
      <c r="AP113" t="s">
        <v>26</v>
      </c>
      <c r="AQ113">
        <v>7.5</v>
      </c>
      <c r="AR113">
        <v>8.5</v>
      </c>
      <c r="AS113">
        <v>8.3000000000000007</v>
      </c>
      <c r="AT113" t="s">
        <v>605</v>
      </c>
      <c r="AU113">
        <v>10</v>
      </c>
      <c r="AV113">
        <v>10</v>
      </c>
      <c r="AW113">
        <v>10</v>
      </c>
      <c r="AX113">
        <v>10</v>
      </c>
      <c r="AY113">
        <v>10</v>
      </c>
      <c r="AZ113">
        <v>10</v>
      </c>
      <c r="BA113">
        <v>10</v>
      </c>
      <c r="BB113">
        <v>10</v>
      </c>
      <c r="BC113">
        <v>10</v>
      </c>
      <c r="BD113">
        <v>10</v>
      </c>
      <c r="BE113">
        <v>10</v>
      </c>
      <c r="BF113">
        <v>10</v>
      </c>
      <c r="BG113">
        <v>10</v>
      </c>
      <c r="BH113">
        <v>10</v>
      </c>
      <c r="BI113">
        <v>10</v>
      </c>
      <c r="BJ113">
        <v>10</v>
      </c>
    </row>
    <row r="114" spans="1:62" x14ac:dyDescent="0.35">
      <c r="A114" t="s">
        <v>393</v>
      </c>
      <c r="B114" t="s">
        <v>836</v>
      </c>
      <c r="C114" t="s">
        <v>366</v>
      </c>
      <c r="D114" t="s">
        <v>837</v>
      </c>
      <c r="E114" t="s">
        <v>394</v>
      </c>
      <c r="F114" t="s">
        <v>838</v>
      </c>
      <c r="G114" t="s">
        <v>24</v>
      </c>
      <c r="H114" t="s">
        <v>516</v>
      </c>
      <c r="I114" t="s">
        <v>228</v>
      </c>
      <c r="J114">
        <v>6.2</v>
      </c>
      <c r="K114" t="s">
        <v>605</v>
      </c>
      <c r="L114">
        <v>8</v>
      </c>
      <c r="M114">
        <v>4.0999999999999996</v>
      </c>
      <c r="N114">
        <v>3.35</v>
      </c>
      <c r="O114" t="s">
        <v>605</v>
      </c>
      <c r="P114">
        <v>0</v>
      </c>
      <c r="Q114">
        <v>0</v>
      </c>
      <c r="R114">
        <v>10</v>
      </c>
      <c r="S114">
        <v>7.1</v>
      </c>
      <c r="T114">
        <v>9.1999999999999993</v>
      </c>
      <c r="U114">
        <v>7.1</v>
      </c>
      <c r="V114">
        <v>7.2</v>
      </c>
      <c r="W114">
        <v>8.9</v>
      </c>
      <c r="X114">
        <v>9.1</v>
      </c>
      <c r="Y114">
        <v>8.6</v>
      </c>
      <c r="Z114" t="s">
        <v>605</v>
      </c>
      <c r="AA114">
        <v>8.1999999999999993</v>
      </c>
      <c r="AB114">
        <v>8.6</v>
      </c>
      <c r="AC114" t="s">
        <v>26</v>
      </c>
      <c r="AD114">
        <v>0</v>
      </c>
      <c r="AE114">
        <v>9.4</v>
      </c>
      <c r="AF114">
        <v>8.9</v>
      </c>
      <c r="AG114">
        <v>9.3000000000000007</v>
      </c>
      <c r="AH114">
        <v>8.6999999999999993</v>
      </c>
      <c r="AI114">
        <v>4.7</v>
      </c>
      <c r="AJ114">
        <v>6.4</v>
      </c>
      <c r="AL114">
        <v>3.3</v>
      </c>
      <c r="AM114">
        <v>5.3</v>
      </c>
      <c r="AN114" t="s">
        <v>26</v>
      </c>
      <c r="AO114">
        <v>7</v>
      </c>
      <c r="AP114">
        <v>5</v>
      </c>
      <c r="AQ114">
        <v>7.5</v>
      </c>
      <c r="AR114" t="s">
        <v>26</v>
      </c>
      <c r="AS114">
        <v>8.3000000000000007</v>
      </c>
      <c r="AU114" t="s">
        <v>26</v>
      </c>
      <c r="AV114">
        <v>10</v>
      </c>
      <c r="AW114" t="s">
        <v>26</v>
      </c>
      <c r="AX114">
        <v>10</v>
      </c>
      <c r="AY114" t="s">
        <v>26</v>
      </c>
      <c r="AZ114">
        <v>10</v>
      </c>
      <c r="BA114" t="s">
        <v>26</v>
      </c>
      <c r="BB114">
        <v>10</v>
      </c>
      <c r="BC114" t="s">
        <v>26</v>
      </c>
      <c r="BD114">
        <v>10</v>
      </c>
      <c r="BE114" t="s">
        <v>26</v>
      </c>
      <c r="BF114">
        <v>10</v>
      </c>
      <c r="BG114" t="s">
        <v>26</v>
      </c>
      <c r="BH114">
        <v>10</v>
      </c>
      <c r="BI114" t="s">
        <v>26</v>
      </c>
      <c r="BJ114">
        <v>10</v>
      </c>
    </row>
    <row r="115" spans="1:62" x14ac:dyDescent="0.35">
      <c r="A115" t="s">
        <v>82</v>
      </c>
      <c r="B115" t="s">
        <v>82</v>
      </c>
      <c r="C115" t="s">
        <v>21</v>
      </c>
      <c r="D115" t="s">
        <v>839</v>
      </c>
      <c r="E115" t="s">
        <v>83</v>
      </c>
      <c r="F115" t="s">
        <v>840</v>
      </c>
      <c r="G115" t="s">
        <v>39</v>
      </c>
      <c r="H115" t="s">
        <v>84</v>
      </c>
      <c r="I115" t="s">
        <v>48</v>
      </c>
      <c r="J115">
        <v>8</v>
      </c>
      <c r="K115" t="s">
        <v>608</v>
      </c>
      <c r="L115">
        <v>4</v>
      </c>
      <c r="M115">
        <v>8.1999999999999993</v>
      </c>
      <c r="N115">
        <v>3.6</v>
      </c>
      <c r="O115" t="s">
        <v>608</v>
      </c>
      <c r="P115">
        <v>7.6</v>
      </c>
      <c r="Q115">
        <v>1</v>
      </c>
      <c r="R115">
        <v>10</v>
      </c>
      <c r="S115">
        <v>7.1</v>
      </c>
      <c r="T115">
        <v>7.4</v>
      </c>
      <c r="U115">
        <v>6.3</v>
      </c>
      <c r="V115">
        <v>9</v>
      </c>
      <c r="W115">
        <v>8.9</v>
      </c>
      <c r="X115">
        <v>8.6999999999999993</v>
      </c>
      <c r="Y115">
        <v>7.8</v>
      </c>
      <c r="Z115" t="s">
        <v>608</v>
      </c>
      <c r="AA115">
        <v>7.6</v>
      </c>
      <c r="AB115">
        <v>7.6</v>
      </c>
      <c r="AC115">
        <v>7.4</v>
      </c>
      <c r="AD115">
        <v>7.5</v>
      </c>
      <c r="AE115">
        <v>9.1999999999999993</v>
      </c>
      <c r="AF115">
        <v>7.4</v>
      </c>
      <c r="AG115">
        <v>9.6999999999999993</v>
      </c>
      <c r="AH115">
        <v>8.6999999999999993</v>
      </c>
      <c r="AI115">
        <v>6.1</v>
      </c>
      <c r="AJ115">
        <v>7.1</v>
      </c>
      <c r="AL115">
        <v>5.3</v>
      </c>
      <c r="AM115">
        <v>6.7</v>
      </c>
      <c r="AN115">
        <v>6</v>
      </c>
      <c r="AO115">
        <v>6</v>
      </c>
      <c r="AP115" t="s">
        <v>26</v>
      </c>
      <c r="AQ115">
        <v>7.5</v>
      </c>
      <c r="AR115" t="s">
        <v>26</v>
      </c>
      <c r="AS115">
        <v>8.3000000000000007</v>
      </c>
      <c r="AU115" t="s">
        <v>26</v>
      </c>
      <c r="AV115">
        <v>10</v>
      </c>
      <c r="AW115" t="s">
        <v>26</v>
      </c>
      <c r="AX115">
        <v>10</v>
      </c>
      <c r="AY115" t="s">
        <v>26</v>
      </c>
      <c r="AZ115">
        <v>10</v>
      </c>
      <c r="BA115" t="s">
        <v>26</v>
      </c>
      <c r="BB115">
        <v>10</v>
      </c>
      <c r="BC115" t="s">
        <v>26</v>
      </c>
      <c r="BD115">
        <v>10</v>
      </c>
      <c r="BE115" t="s">
        <v>26</v>
      </c>
      <c r="BF115">
        <v>10</v>
      </c>
      <c r="BG115" t="s">
        <v>26</v>
      </c>
      <c r="BH115">
        <v>10</v>
      </c>
      <c r="BI115" t="s">
        <v>26</v>
      </c>
      <c r="BJ115">
        <v>10</v>
      </c>
    </row>
    <row r="116" spans="1:62" x14ac:dyDescent="0.35">
      <c r="A116" t="s">
        <v>85</v>
      </c>
      <c r="B116" t="s">
        <v>85</v>
      </c>
      <c r="C116" t="s">
        <v>21</v>
      </c>
      <c r="D116" t="s">
        <v>841</v>
      </c>
      <c r="E116" t="s">
        <v>86</v>
      </c>
      <c r="F116" t="s">
        <v>842</v>
      </c>
      <c r="G116" t="s">
        <v>24</v>
      </c>
      <c r="H116" t="s">
        <v>23</v>
      </c>
      <c r="I116" t="s">
        <v>33</v>
      </c>
      <c r="J116">
        <v>6.4</v>
      </c>
      <c r="L116">
        <v>11</v>
      </c>
      <c r="M116">
        <v>5.6</v>
      </c>
      <c r="N116">
        <v>3.6</v>
      </c>
      <c r="P116">
        <v>5.2</v>
      </c>
      <c r="Q116">
        <v>1</v>
      </c>
      <c r="R116">
        <v>5.3</v>
      </c>
      <c r="S116">
        <v>7.1</v>
      </c>
      <c r="T116">
        <v>6.4</v>
      </c>
      <c r="U116">
        <v>6.3</v>
      </c>
      <c r="V116">
        <v>7.3</v>
      </c>
      <c r="W116">
        <v>8.9</v>
      </c>
      <c r="X116">
        <v>6.8</v>
      </c>
      <c r="Y116">
        <v>7.8</v>
      </c>
      <c r="AA116">
        <v>4.0999999999999996</v>
      </c>
      <c r="AB116">
        <v>7.6</v>
      </c>
      <c r="AC116">
        <v>6.4</v>
      </c>
      <c r="AD116">
        <v>7.5</v>
      </c>
      <c r="AE116">
        <v>6.9</v>
      </c>
      <c r="AF116">
        <v>7.4</v>
      </c>
      <c r="AG116">
        <v>7.9</v>
      </c>
      <c r="AH116">
        <v>8.6999999999999993</v>
      </c>
      <c r="AI116">
        <v>7.4</v>
      </c>
      <c r="AJ116">
        <v>7.1</v>
      </c>
      <c r="AK116" t="s">
        <v>605</v>
      </c>
      <c r="AL116">
        <v>8</v>
      </c>
      <c r="AM116">
        <v>6.7</v>
      </c>
      <c r="AN116">
        <v>7</v>
      </c>
      <c r="AO116">
        <v>6</v>
      </c>
      <c r="AP116" t="s">
        <v>26</v>
      </c>
      <c r="AQ116">
        <v>7.5</v>
      </c>
      <c r="AR116" t="s">
        <v>26</v>
      </c>
      <c r="AS116">
        <v>8.3000000000000007</v>
      </c>
      <c r="AU116" t="s">
        <v>26</v>
      </c>
      <c r="AV116">
        <v>10</v>
      </c>
      <c r="AW116" t="s">
        <v>26</v>
      </c>
      <c r="AX116">
        <v>10</v>
      </c>
      <c r="AY116" t="s">
        <v>26</v>
      </c>
      <c r="AZ116">
        <v>10</v>
      </c>
      <c r="BA116" t="s">
        <v>26</v>
      </c>
      <c r="BB116">
        <v>10</v>
      </c>
      <c r="BC116" t="s">
        <v>26</v>
      </c>
      <c r="BD116">
        <v>10</v>
      </c>
      <c r="BE116" t="s">
        <v>26</v>
      </c>
      <c r="BF116">
        <v>10</v>
      </c>
      <c r="BG116" t="s">
        <v>26</v>
      </c>
      <c r="BH116">
        <v>10</v>
      </c>
      <c r="BI116" t="s">
        <v>26</v>
      </c>
      <c r="BJ116">
        <v>10</v>
      </c>
    </row>
    <row r="117" spans="1:62" x14ac:dyDescent="0.35">
      <c r="A117" t="s">
        <v>355</v>
      </c>
      <c r="B117" t="s">
        <v>355</v>
      </c>
      <c r="C117" t="s">
        <v>319</v>
      </c>
      <c r="D117" t="s">
        <v>843</v>
      </c>
      <c r="E117" t="s">
        <v>356</v>
      </c>
      <c r="F117" t="s">
        <v>844</v>
      </c>
      <c r="G117" t="s">
        <v>24</v>
      </c>
      <c r="H117" t="s">
        <v>23</v>
      </c>
      <c r="I117" t="s">
        <v>306</v>
      </c>
      <c r="J117">
        <v>5.7</v>
      </c>
      <c r="L117">
        <v>14</v>
      </c>
      <c r="M117">
        <v>3.1</v>
      </c>
      <c r="N117">
        <v>3.75</v>
      </c>
      <c r="P117">
        <v>0</v>
      </c>
      <c r="Q117">
        <v>0</v>
      </c>
      <c r="R117">
        <v>5.3</v>
      </c>
      <c r="S117">
        <v>7.1</v>
      </c>
      <c r="T117">
        <v>8.6</v>
      </c>
      <c r="U117">
        <v>8</v>
      </c>
      <c r="V117">
        <v>7.9</v>
      </c>
      <c r="W117">
        <v>8.3000000000000007</v>
      </c>
      <c r="X117">
        <v>8.1</v>
      </c>
      <c r="Y117">
        <v>8</v>
      </c>
      <c r="Z117" t="s">
        <v>605</v>
      </c>
      <c r="AA117">
        <v>8.1</v>
      </c>
      <c r="AB117">
        <v>7.6</v>
      </c>
      <c r="AC117" t="s">
        <v>26</v>
      </c>
      <c r="AD117">
        <v>0</v>
      </c>
      <c r="AE117">
        <v>9.5</v>
      </c>
      <c r="AF117">
        <v>8.8000000000000007</v>
      </c>
      <c r="AG117">
        <v>7.5</v>
      </c>
      <c r="AH117">
        <v>7.5</v>
      </c>
      <c r="AI117">
        <v>6.2</v>
      </c>
      <c r="AJ117">
        <v>6.7</v>
      </c>
      <c r="AL117">
        <v>6</v>
      </c>
      <c r="AM117">
        <v>6.7</v>
      </c>
      <c r="AN117">
        <v>7</v>
      </c>
      <c r="AO117">
        <v>7</v>
      </c>
      <c r="AP117">
        <v>6</v>
      </c>
      <c r="AQ117">
        <v>6</v>
      </c>
      <c r="AR117" t="s">
        <v>26</v>
      </c>
      <c r="AS117">
        <v>8.5</v>
      </c>
      <c r="AU117" t="s">
        <v>26</v>
      </c>
      <c r="AV117">
        <v>10</v>
      </c>
      <c r="AW117" t="s">
        <v>26</v>
      </c>
      <c r="AX117">
        <v>10</v>
      </c>
      <c r="AY117" t="s">
        <v>26</v>
      </c>
      <c r="AZ117">
        <v>10</v>
      </c>
      <c r="BA117" t="s">
        <v>26</v>
      </c>
      <c r="BB117">
        <v>10</v>
      </c>
      <c r="BC117" t="s">
        <v>26</v>
      </c>
      <c r="BD117">
        <v>10</v>
      </c>
      <c r="BE117" t="s">
        <v>26</v>
      </c>
      <c r="BF117">
        <v>10</v>
      </c>
      <c r="BG117" t="s">
        <v>26</v>
      </c>
      <c r="BH117">
        <v>10</v>
      </c>
      <c r="BI117" t="s">
        <v>26</v>
      </c>
      <c r="BJ117">
        <v>10</v>
      </c>
    </row>
    <row r="118" spans="1:62" x14ac:dyDescent="0.35">
      <c r="A118" t="s">
        <v>125</v>
      </c>
      <c r="B118" t="s">
        <v>125</v>
      </c>
      <c r="C118" t="s">
        <v>110</v>
      </c>
      <c r="D118" t="s">
        <v>845</v>
      </c>
      <c r="E118" t="s">
        <v>126</v>
      </c>
      <c r="F118" t="s">
        <v>846</v>
      </c>
      <c r="G118" t="s">
        <v>24</v>
      </c>
      <c r="H118" t="s">
        <v>23</v>
      </c>
      <c r="I118" t="s">
        <v>36</v>
      </c>
      <c r="J118">
        <v>7.5</v>
      </c>
      <c r="K118" t="s">
        <v>662</v>
      </c>
      <c r="L118">
        <v>3</v>
      </c>
      <c r="M118">
        <v>6.2</v>
      </c>
      <c r="N118">
        <v>4</v>
      </c>
      <c r="O118" t="s">
        <v>608</v>
      </c>
      <c r="P118">
        <v>5.5</v>
      </c>
      <c r="Q118">
        <v>2.9</v>
      </c>
      <c r="R118">
        <v>5.5</v>
      </c>
      <c r="S118">
        <v>5.8</v>
      </c>
      <c r="T118">
        <v>7.5</v>
      </c>
      <c r="U118">
        <v>7.5</v>
      </c>
      <c r="V118">
        <v>9.4</v>
      </c>
      <c r="W118">
        <v>9.3000000000000007</v>
      </c>
      <c r="X118">
        <v>8.5</v>
      </c>
      <c r="Y118">
        <v>8.4</v>
      </c>
      <c r="Z118" t="s">
        <v>608</v>
      </c>
      <c r="AA118">
        <v>8.4</v>
      </c>
      <c r="AB118">
        <v>8.5</v>
      </c>
      <c r="AC118">
        <v>8.5</v>
      </c>
      <c r="AD118">
        <v>7.9</v>
      </c>
      <c r="AE118">
        <v>8.6</v>
      </c>
      <c r="AF118">
        <v>8.8000000000000007</v>
      </c>
      <c r="AG118">
        <v>8.5</v>
      </c>
      <c r="AH118">
        <v>8.6999999999999993</v>
      </c>
      <c r="AI118">
        <v>8.1</v>
      </c>
      <c r="AJ118">
        <v>6.6</v>
      </c>
      <c r="AK118" t="s">
        <v>622</v>
      </c>
      <c r="AL118">
        <v>8.6999999999999993</v>
      </c>
      <c r="AM118">
        <v>6.7</v>
      </c>
      <c r="AN118">
        <v>7</v>
      </c>
      <c r="AO118">
        <v>6</v>
      </c>
      <c r="AP118">
        <v>8</v>
      </c>
      <c r="AQ118">
        <v>7</v>
      </c>
      <c r="AR118" t="s">
        <v>26</v>
      </c>
      <c r="AS118">
        <v>8.6999999999999993</v>
      </c>
      <c r="AU118" t="s">
        <v>26</v>
      </c>
      <c r="AV118">
        <v>9.6</v>
      </c>
      <c r="AW118" t="s">
        <v>26</v>
      </c>
      <c r="AX118">
        <v>10</v>
      </c>
      <c r="AY118" t="s">
        <v>26</v>
      </c>
      <c r="AZ118">
        <v>10</v>
      </c>
      <c r="BA118" t="s">
        <v>26</v>
      </c>
      <c r="BB118">
        <v>10</v>
      </c>
      <c r="BC118" t="s">
        <v>26</v>
      </c>
      <c r="BD118">
        <v>10</v>
      </c>
      <c r="BE118" t="s">
        <v>26</v>
      </c>
      <c r="BF118">
        <v>10</v>
      </c>
      <c r="BG118" t="s">
        <v>26</v>
      </c>
      <c r="BH118">
        <v>10</v>
      </c>
      <c r="BI118" t="s">
        <v>26</v>
      </c>
      <c r="BJ118">
        <v>9.6</v>
      </c>
    </row>
    <row r="119" spans="1:62" x14ac:dyDescent="0.35">
      <c r="A119" t="s">
        <v>297</v>
      </c>
      <c r="B119" t="s">
        <v>297</v>
      </c>
      <c r="C119" t="s">
        <v>223</v>
      </c>
      <c r="D119" t="s">
        <v>847</v>
      </c>
      <c r="E119" t="s">
        <v>298</v>
      </c>
      <c r="F119" t="s">
        <v>848</v>
      </c>
      <c r="G119" t="s">
        <v>24</v>
      </c>
      <c r="H119" t="s">
        <v>23</v>
      </c>
      <c r="I119" t="s">
        <v>36</v>
      </c>
      <c r="J119">
        <v>7.6</v>
      </c>
      <c r="L119">
        <v>12</v>
      </c>
      <c r="M119">
        <v>6.7</v>
      </c>
      <c r="N119">
        <v>5.6</v>
      </c>
      <c r="P119">
        <v>4.9000000000000004</v>
      </c>
      <c r="Q119">
        <v>4.0999999999999996</v>
      </c>
      <c r="R119">
        <v>9.6999999999999993</v>
      </c>
      <c r="S119">
        <v>7.5</v>
      </c>
      <c r="T119">
        <v>7.9</v>
      </c>
      <c r="U119">
        <v>5.9</v>
      </c>
      <c r="V119">
        <v>8.6999999999999993</v>
      </c>
      <c r="W119">
        <v>8.3000000000000007</v>
      </c>
      <c r="X119">
        <v>8</v>
      </c>
      <c r="Y119">
        <v>8.4</v>
      </c>
      <c r="AA119">
        <v>6.6</v>
      </c>
      <c r="AB119">
        <v>7.4</v>
      </c>
      <c r="AC119" t="s">
        <v>26</v>
      </c>
      <c r="AD119">
        <v>0</v>
      </c>
      <c r="AE119">
        <v>9.8000000000000007</v>
      </c>
      <c r="AF119">
        <v>9.5</v>
      </c>
      <c r="AG119">
        <v>7.5</v>
      </c>
      <c r="AH119">
        <v>8.5</v>
      </c>
      <c r="AI119">
        <v>8.6999999999999993</v>
      </c>
      <c r="AJ119">
        <v>6.7</v>
      </c>
      <c r="AK119" t="s">
        <v>602</v>
      </c>
      <c r="AL119">
        <v>8.6999999999999993</v>
      </c>
      <c r="AM119">
        <v>6.7</v>
      </c>
      <c r="AN119">
        <v>8</v>
      </c>
      <c r="AO119">
        <v>7</v>
      </c>
      <c r="AP119">
        <v>9</v>
      </c>
      <c r="AQ119">
        <v>7.5</v>
      </c>
      <c r="AR119">
        <v>7.9</v>
      </c>
      <c r="AS119">
        <v>8.5</v>
      </c>
      <c r="AU119">
        <v>10</v>
      </c>
      <c r="AV119">
        <v>10</v>
      </c>
      <c r="AW119">
        <v>10</v>
      </c>
      <c r="AX119">
        <v>10</v>
      </c>
      <c r="AY119">
        <v>10</v>
      </c>
      <c r="AZ119">
        <v>10</v>
      </c>
      <c r="BA119">
        <v>10</v>
      </c>
      <c r="BB119">
        <v>10</v>
      </c>
      <c r="BC119">
        <v>10</v>
      </c>
      <c r="BD119">
        <v>10</v>
      </c>
      <c r="BE119">
        <v>8</v>
      </c>
      <c r="BF119">
        <v>10</v>
      </c>
      <c r="BG119">
        <v>8</v>
      </c>
      <c r="BH119">
        <v>10</v>
      </c>
      <c r="BI119">
        <v>8</v>
      </c>
      <c r="BJ119">
        <v>10</v>
      </c>
    </row>
    <row r="120" spans="1:62" x14ac:dyDescent="0.35">
      <c r="A120" t="s">
        <v>299</v>
      </c>
      <c r="B120" t="s">
        <v>299</v>
      </c>
      <c r="C120" t="s">
        <v>223</v>
      </c>
      <c r="D120" t="s">
        <v>849</v>
      </c>
      <c r="E120" t="s">
        <v>300</v>
      </c>
      <c r="F120" t="s">
        <v>850</v>
      </c>
      <c r="G120" t="s">
        <v>24</v>
      </c>
      <c r="H120" t="s">
        <v>301</v>
      </c>
      <c r="I120" t="s">
        <v>166</v>
      </c>
      <c r="J120">
        <v>5.3</v>
      </c>
      <c r="L120">
        <v>37</v>
      </c>
      <c r="M120">
        <v>3.1</v>
      </c>
      <c r="N120">
        <v>5.6</v>
      </c>
      <c r="P120">
        <v>0</v>
      </c>
      <c r="Q120">
        <v>4.0999999999999996</v>
      </c>
      <c r="R120">
        <v>7.5</v>
      </c>
      <c r="S120">
        <v>7.5</v>
      </c>
      <c r="T120">
        <v>7.8</v>
      </c>
      <c r="U120">
        <v>5.9</v>
      </c>
      <c r="V120">
        <v>4.8</v>
      </c>
      <c r="W120">
        <v>8.3000000000000007</v>
      </c>
      <c r="X120">
        <v>6.8</v>
      </c>
      <c r="Y120">
        <v>8.4</v>
      </c>
      <c r="AA120">
        <v>5.3</v>
      </c>
      <c r="AB120">
        <v>7.4</v>
      </c>
      <c r="AC120" t="s">
        <v>26</v>
      </c>
      <c r="AD120">
        <v>0</v>
      </c>
      <c r="AE120">
        <v>9.1999999999999993</v>
      </c>
      <c r="AF120">
        <v>9.5</v>
      </c>
      <c r="AG120">
        <v>6</v>
      </c>
      <c r="AH120">
        <v>8.5</v>
      </c>
      <c r="AI120">
        <v>6.5</v>
      </c>
      <c r="AJ120">
        <v>6.7</v>
      </c>
      <c r="AL120">
        <v>5.3</v>
      </c>
      <c r="AM120">
        <v>6.7</v>
      </c>
      <c r="AN120">
        <v>6</v>
      </c>
      <c r="AO120">
        <v>7</v>
      </c>
      <c r="AP120">
        <v>8</v>
      </c>
      <c r="AQ120">
        <v>7.5</v>
      </c>
      <c r="AR120">
        <v>7.9</v>
      </c>
      <c r="AS120">
        <v>8.5</v>
      </c>
      <c r="AU120">
        <v>10</v>
      </c>
      <c r="AV120">
        <v>10</v>
      </c>
      <c r="AW120">
        <v>10</v>
      </c>
      <c r="AX120">
        <v>10</v>
      </c>
      <c r="AY120">
        <v>8</v>
      </c>
      <c r="AZ120">
        <v>10</v>
      </c>
      <c r="BA120">
        <v>10</v>
      </c>
      <c r="BB120">
        <v>10</v>
      </c>
      <c r="BC120">
        <v>8</v>
      </c>
      <c r="BD120">
        <v>10</v>
      </c>
      <c r="BE120">
        <v>8</v>
      </c>
      <c r="BF120">
        <v>10</v>
      </c>
      <c r="BG120">
        <v>10</v>
      </c>
      <c r="BH120">
        <v>10</v>
      </c>
      <c r="BI120">
        <v>10</v>
      </c>
      <c r="BJ120">
        <v>10</v>
      </c>
    </row>
    <row r="121" spans="1:62" x14ac:dyDescent="0.35">
      <c r="A121" t="s">
        <v>283</v>
      </c>
      <c r="B121" t="s">
        <v>283</v>
      </c>
      <c r="C121" t="s">
        <v>223</v>
      </c>
      <c r="D121" t="s">
        <v>851</v>
      </c>
      <c r="E121" t="s">
        <v>284</v>
      </c>
      <c r="F121" t="s">
        <v>852</v>
      </c>
      <c r="G121" t="s">
        <v>24</v>
      </c>
      <c r="H121" t="s">
        <v>23</v>
      </c>
      <c r="I121" t="s">
        <v>296</v>
      </c>
      <c r="J121">
        <v>7.9</v>
      </c>
      <c r="K121" t="s">
        <v>605</v>
      </c>
      <c r="L121">
        <v>9</v>
      </c>
      <c r="M121">
        <v>6.9</v>
      </c>
      <c r="N121">
        <v>5.6</v>
      </c>
      <c r="O121" t="s">
        <v>605</v>
      </c>
      <c r="P121">
        <v>7.2</v>
      </c>
      <c r="Q121">
        <v>4.0999999999999996</v>
      </c>
      <c r="R121">
        <v>6.3</v>
      </c>
      <c r="S121">
        <v>7.5</v>
      </c>
      <c r="T121">
        <v>5.6</v>
      </c>
      <c r="U121">
        <v>5.9</v>
      </c>
      <c r="V121">
        <v>8.5</v>
      </c>
      <c r="W121">
        <v>8.3000000000000007</v>
      </c>
      <c r="X121">
        <v>8.9</v>
      </c>
      <c r="Y121">
        <v>8.4</v>
      </c>
      <c r="AA121">
        <v>8.4</v>
      </c>
      <c r="AB121">
        <v>7.4</v>
      </c>
      <c r="AC121" t="s">
        <v>26</v>
      </c>
      <c r="AD121">
        <v>0</v>
      </c>
      <c r="AE121">
        <v>9.9</v>
      </c>
      <c r="AF121">
        <v>9.5</v>
      </c>
      <c r="AG121">
        <v>8.5</v>
      </c>
      <c r="AH121">
        <v>8.5</v>
      </c>
      <c r="AI121">
        <v>7.6</v>
      </c>
      <c r="AJ121">
        <v>6.7</v>
      </c>
      <c r="AL121">
        <v>8</v>
      </c>
      <c r="AM121">
        <v>6.7</v>
      </c>
      <c r="AN121">
        <v>8</v>
      </c>
      <c r="AO121">
        <v>7</v>
      </c>
      <c r="AP121">
        <v>7</v>
      </c>
      <c r="AQ121">
        <v>7.5</v>
      </c>
      <c r="AR121">
        <v>9.8000000000000007</v>
      </c>
      <c r="AS121">
        <v>8.5</v>
      </c>
      <c r="AT121" t="s">
        <v>622</v>
      </c>
      <c r="AU121">
        <v>10</v>
      </c>
      <c r="AV121">
        <v>10</v>
      </c>
      <c r="AW121">
        <v>10</v>
      </c>
      <c r="AX121">
        <v>10</v>
      </c>
      <c r="AY121">
        <v>9.6</v>
      </c>
      <c r="AZ121">
        <v>10</v>
      </c>
      <c r="BA121">
        <v>9.6</v>
      </c>
      <c r="BB121">
        <v>10</v>
      </c>
      <c r="BC121">
        <v>9.6</v>
      </c>
      <c r="BD121">
        <v>10</v>
      </c>
      <c r="BE121">
        <v>9.6</v>
      </c>
      <c r="BF121">
        <v>10</v>
      </c>
      <c r="BG121">
        <v>9.6</v>
      </c>
      <c r="BH121">
        <v>10</v>
      </c>
      <c r="BI121">
        <v>9.6</v>
      </c>
      <c r="BJ121">
        <v>10</v>
      </c>
    </row>
    <row r="122" spans="1:62" x14ac:dyDescent="0.35">
      <c r="A122" t="s">
        <v>109</v>
      </c>
      <c r="B122" t="s">
        <v>109</v>
      </c>
      <c r="C122" t="s">
        <v>110</v>
      </c>
      <c r="D122" t="s">
        <v>853</v>
      </c>
      <c r="E122" t="s">
        <v>111</v>
      </c>
      <c r="F122" t="s">
        <v>854</v>
      </c>
      <c r="G122" t="s">
        <v>39</v>
      </c>
      <c r="H122" t="s">
        <v>23</v>
      </c>
      <c r="I122" t="s">
        <v>33</v>
      </c>
      <c r="J122">
        <v>5.5</v>
      </c>
      <c r="L122">
        <v>9</v>
      </c>
      <c r="M122">
        <v>2.5</v>
      </c>
      <c r="N122">
        <v>4</v>
      </c>
      <c r="P122">
        <v>0</v>
      </c>
      <c r="Q122">
        <v>2.9</v>
      </c>
      <c r="R122">
        <v>4.9000000000000004</v>
      </c>
      <c r="S122">
        <v>5.8</v>
      </c>
      <c r="T122">
        <v>10</v>
      </c>
      <c r="U122">
        <v>7.5</v>
      </c>
      <c r="V122">
        <v>0</v>
      </c>
      <c r="W122">
        <v>9.3000000000000007</v>
      </c>
      <c r="X122">
        <v>7</v>
      </c>
      <c r="Y122">
        <v>8.4</v>
      </c>
      <c r="Z122" t="s">
        <v>605</v>
      </c>
      <c r="AA122">
        <v>8.5</v>
      </c>
      <c r="AB122">
        <v>8.5</v>
      </c>
      <c r="AC122">
        <v>6.6</v>
      </c>
      <c r="AD122">
        <v>7.9</v>
      </c>
      <c r="AE122">
        <v>0</v>
      </c>
      <c r="AF122">
        <v>8.8000000000000007</v>
      </c>
      <c r="AG122">
        <v>9.8000000000000007</v>
      </c>
      <c r="AH122">
        <v>8.6999999999999993</v>
      </c>
      <c r="AI122">
        <v>8.5</v>
      </c>
      <c r="AJ122">
        <v>6.6</v>
      </c>
      <c r="AK122" t="s">
        <v>602</v>
      </c>
      <c r="AL122">
        <v>9.3000000000000007</v>
      </c>
      <c r="AM122">
        <v>6.7</v>
      </c>
      <c r="AN122">
        <v>6</v>
      </c>
      <c r="AO122">
        <v>6</v>
      </c>
      <c r="AP122">
        <v>9</v>
      </c>
      <c r="AQ122">
        <v>7</v>
      </c>
      <c r="AR122">
        <v>9.8000000000000007</v>
      </c>
      <c r="AS122">
        <v>8.6999999999999993</v>
      </c>
      <c r="AT122" t="s">
        <v>602</v>
      </c>
      <c r="AU122">
        <v>9.6</v>
      </c>
      <c r="AV122">
        <v>9.6</v>
      </c>
      <c r="AW122">
        <v>9.6</v>
      </c>
      <c r="AX122">
        <v>10</v>
      </c>
      <c r="AY122">
        <v>10</v>
      </c>
      <c r="AZ122">
        <v>10</v>
      </c>
      <c r="BA122">
        <v>9.6</v>
      </c>
      <c r="BB122">
        <v>10</v>
      </c>
      <c r="BC122">
        <v>9.6</v>
      </c>
      <c r="BD122">
        <v>10</v>
      </c>
      <c r="BE122">
        <v>10</v>
      </c>
      <c r="BF122">
        <v>10</v>
      </c>
      <c r="BG122">
        <v>10</v>
      </c>
      <c r="BH122">
        <v>10</v>
      </c>
      <c r="BI122">
        <v>9.6</v>
      </c>
      <c r="BJ122">
        <v>9.6</v>
      </c>
    </row>
    <row r="123" spans="1:62" x14ac:dyDescent="0.35">
      <c r="A123" t="s">
        <v>322</v>
      </c>
      <c r="B123" t="s">
        <v>322</v>
      </c>
      <c r="C123" t="s">
        <v>319</v>
      </c>
      <c r="D123" t="s">
        <v>855</v>
      </c>
      <c r="E123" t="s">
        <v>323</v>
      </c>
      <c r="F123" t="s">
        <v>856</v>
      </c>
      <c r="G123" t="s">
        <v>24</v>
      </c>
      <c r="H123" t="s">
        <v>23</v>
      </c>
      <c r="I123" t="s">
        <v>857</v>
      </c>
      <c r="J123">
        <v>6.2</v>
      </c>
      <c r="L123">
        <v>12</v>
      </c>
      <c r="M123">
        <v>3.2</v>
      </c>
      <c r="N123">
        <v>3.75</v>
      </c>
      <c r="P123">
        <v>0</v>
      </c>
      <c r="Q123">
        <v>0</v>
      </c>
      <c r="R123">
        <v>5.3</v>
      </c>
      <c r="S123">
        <v>7.1</v>
      </c>
      <c r="T123">
        <v>8.1</v>
      </c>
      <c r="U123">
        <v>8</v>
      </c>
      <c r="V123">
        <v>9.1999999999999993</v>
      </c>
      <c r="W123">
        <v>8.3000000000000007</v>
      </c>
      <c r="X123">
        <v>9.6999999999999993</v>
      </c>
      <c r="Y123">
        <v>8</v>
      </c>
      <c r="Z123" t="s">
        <v>602</v>
      </c>
      <c r="AA123">
        <v>10</v>
      </c>
      <c r="AB123">
        <v>7.6</v>
      </c>
      <c r="AC123" t="s">
        <v>26</v>
      </c>
      <c r="AD123">
        <v>0</v>
      </c>
      <c r="AE123">
        <v>9.8000000000000007</v>
      </c>
      <c r="AF123">
        <v>8.8000000000000007</v>
      </c>
      <c r="AG123">
        <v>9.5</v>
      </c>
      <c r="AH123">
        <v>7.5</v>
      </c>
      <c r="AI123">
        <v>5</v>
      </c>
      <c r="AJ123">
        <v>6.7</v>
      </c>
      <c r="AL123">
        <v>6</v>
      </c>
      <c r="AM123">
        <v>6.7</v>
      </c>
      <c r="AN123">
        <v>5</v>
      </c>
      <c r="AO123">
        <v>7</v>
      </c>
      <c r="AP123">
        <v>4</v>
      </c>
      <c r="AQ123">
        <v>6</v>
      </c>
      <c r="AR123">
        <v>9.3000000000000007</v>
      </c>
      <c r="AS123">
        <v>8.5</v>
      </c>
      <c r="AT123" t="s">
        <v>622</v>
      </c>
      <c r="AU123">
        <v>10</v>
      </c>
      <c r="AV123">
        <v>10</v>
      </c>
      <c r="AW123">
        <v>10</v>
      </c>
      <c r="AX123">
        <v>10</v>
      </c>
      <c r="AY123">
        <v>10</v>
      </c>
      <c r="AZ123">
        <v>10</v>
      </c>
      <c r="BA123">
        <v>10</v>
      </c>
      <c r="BB123">
        <v>10</v>
      </c>
      <c r="BC123">
        <v>10</v>
      </c>
      <c r="BD123">
        <v>10</v>
      </c>
      <c r="BE123">
        <v>10</v>
      </c>
      <c r="BF123">
        <v>10</v>
      </c>
      <c r="BG123">
        <v>8</v>
      </c>
      <c r="BH123">
        <v>10</v>
      </c>
      <c r="BI123">
        <v>10</v>
      </c>
      <c r="BJ123">
        <v>10</v>
      </c>
    </row>
    <row r="124" spans="1:62" x14ac:dyDescent="0.35">
      <c r="A124" t="s">
        <v>220</v>
      </c>
      <c r="B124" t="s">
        <v>220</v>
      </c>
      <c r="C124" t="s">
        <v>135</v>
      </c>
      <c r="D124" t="s">
        <v>858</v>
      </c>
      <c r="E124" t="s">
        <v>221</v>
      </c>
      <c r="F124" t="s">
        <v>859</v>
      </c>
      <c r="G124" t="s">
        <v>39</v>
      </c>
      <c r="H124" t="s">
        <v>23</v>
      </c>
      <c r="I124" t="s">
        <v>166</v>
      </c>
      <c r="J124">
        <v>5.6</v>
      </c>
      <c r="L124">
        <v>29</v>
      </c>
      <c r="M124">
        <v>2.2999999999999998</v>
      </c>
      <c r="N124">
        <v>4.9000000000000004</v>
      </c>
      <c r="P124">
        <v>0</v>
      </c>
      <c r="Q124">
        <v>3.2</v>
      </c>
      <c r="R124">
        <v>4.7</v>
      </c>
      <c r="S124">
        <v>6</v>
      </c>
      <c r="T124">
        <v>4.4000000000000004</v>
      </c>
      <c r="U124">
        <v>6.8</v>
      </c>
      <c r="V124">
        <v>7.5</v>
      </c>
      <c r="W124">
        <v>8.5</v>
      </c>
      <c r="X124">
        <v>7.9</v>
      </c>
      <c r="Y124">
        <v>8.1999999999999993</v>
      </c>
      <c r="AA124">
        <v>4.7</v>
      </c>
      <c r="AB124">
        <v>7.3</v>
      </c>
      <c r="AC124">
        <v>9.1</v>
      </c>
      <c r="AD124">
        <v>8.6</v>
      </c>
      <c r="AE124">
        <v>8.4</v>
      </c>
      <c r="AF124">
        <v>9.4</v>
      </c>
      <c r="AG124">
        <v>8.5</v>
      </c>
      <c r="AH124">
        <v>8.1999999999999993</v>
      </c>
      <c r="AI124">
        <v>7.5</v>
      </c>
      <c r="AJ124">
        <v>7.1</v>
      </c>
      <c r="AL124">
        <v>7.3</v>
      </c>
      <c r="AM124">
        <v>7.3</v>
      </c>
      <c r="AN124">
        <v>7</v>
      </c>
      <c r="AO124">
        <v>7</v>
      </c>
      <c r="AP124">
        <v>8</v>
      </c>
      <c r="AQ124">
        <v>8</v>
      </c>
      <c r="AR124">
        <v>7.6</v>
      </c>
      <c r="AS124">
        <v>8.5</v>
      </c>
      <c r="AU124">
        <v>10</v>
      </c>
      <c r="AV124">
        <v>10</v>
      </c>
      <c r="AW124">
        <v>10</v>
      </c>
      <c r="AX124">
        <v>10</v>
      </c>
      <c r="AY124">
        <v>8</v>
      </c>
      <c r="AZ124">
        <v>10</v>
      </c>
      <c r="BA124">
        <v>8</v>
      </c>
      <c r="BB124">
        <v>10</v>
      </c>
      <c r="BC124">
        <v>8</v>
      </c>
      <c r="BD124">
        <v>10</v>
      </c>
      <c r="BE124">
        <v>8</v>
      </c>
      <c r="BF124">
        <v>10</v>
      </c>
      <c r="BG124">
        <v>10</v>
      </c>
      <c r="BH124">
        <v>10</v>
      </c>
      <c r="BI124">
        <v>8</v>
      </c>
      <c r="BJ124">
        <v>10</v>
      </c>
    </row>
    <row r="125" spans="1:62" x14ac:dyDescent="0.35">
      <c r="A125" t="s">
        <v>87</v>
      </c>
      <c r="B125" t="s">
        <v>87</v>
      </c>
      <c r="C125" t="s">
        <v>21</v>
      </c>
      <c r="D125" t="s">
        <v>860</v>
      </c>
      <c r="E125" t="s">
        <v>88</v>
      </c>
      <c r="F125" t="s">
        <v>861</v>
      </c>
      <c r="G125" t="s">
        <v>24</v>
      </c>
      <c r="H125" t="s">
        <v>23</v>
      </c>
      <c r="I125" t="s">
        <v>36</v>
      </c>
      <c r="J125">
        <v>5.7</v>
      </c>
      <c r="L125">
        <v>23</v>
      </c>
      <c r="M125">
        <v>3.4</v>
      </c>
      <c r="N125">
        <v>3.6</v>
      </c>
      <c r="P125">
        <v>3.1</v>
      </c>
      <c r="Q125">
        <v>1</v>
      </c>
      <c r="R125">
        <v>4.4000000000000004</v>
      </c>
      <c r="S125">
        <v>7.1</v>
      </c>
      <c r="T125">
        <v>0</v>
      </c>
      <c r="U125">
        <v>6.3</v>
      </c>
      <c r="V125">
        <v>8.4</v>
      </c>
      <c r="W125">
        <v>8.9</v>
      </c>
      <c r="X125">
        <v>7.3</v>
      </c>
      <c r="Y125">
        <v>7.8</v>
      </c>
      <c r="AA125">
        <v>5.7</v>
      </c>
      <c r="AB125">
        <v>7.6</v>
      </c>
      <c r="AC125">
        <v>6</v>
      </c>
      <c r="AD125">
        <v>7.5</v>
      </c>
      <c r="AE125">
        <v>5.8</v>
      </c>
      <c r="AF125">
        <v>7.4</v>
      </c>
      <c r="AG125">
        <v>9</v>
      </c>
      <c r="AH125">
        <v>8.6999999999999993</v>
      </c>
      <c r="AI125">
        <v>7.1</v>
      </c>
      <c r="AJ125">
        <v>7.1</v>
      </c>
      <c r="AL125">
        <v>6.7</v>
      </c>
      <c r="AM125">
        <v>6.7</v>
      </c>
      <c r="AN125">
        <v>6</v>
      </c>
      <c r="AO125">
        <v>6</v>
      </c>
      <c r="AP125">
        <v>8</v>
      </c>
      <c r="AQ125">
        <v>7.5</v>
      </c>
      <c r="AR125">
        <v>8.1</v>
      </c>
      <c r="AS125">
        <v>8.3000000000000007</v>
      </c>
      <c r="AU125">
        <v>10</v>
      </c>
      <c r="AV125">
        <v>10</v>
      </c>
      <c r="AW125">
        <v>10</v>
      </c>
      <c r="AX125">
        <v>10</v>
      </c>
      <c r="AY125">
        <v>8</v>
      </c>
      <c r="AZ125">
        <v>10</v>
      </c>
      <c r="BA125">
        <v>10</v>
      </c>
      <c r="BB125">
        <v>10</v>
      </c>
      <c r="BC125">
        <v>8</v>
      </c>
      <c r="BD125">
        <v>10</v>
      </c>
      <c r="BE125">
        <v>10</v>
      </c>
      <c r="BF125">
        <v>10</v>
      </c>
      <c r="BG125">
        <v>10</v>
      </c>
      <c r="BH125">
        <v>10</v>
      </c>
      <c r="BI125">
        <v>10</v>
      </c>
      <c r="BJ125">
        <v>10</v>
      </c>
    </row>
    <row r="126" spans="1:62" x14ac:dyDescent="0.35">
      <c r="A126" t="s">
        <v>89</v>
      </c>
      <c r="B126" t="s">
        <v>89</v>
      </c>
      <c r="C126" t="s">
        <v>21</v>
      </c>
      <c r="D126" t="s">
        <v>862</v>
      </c>
      <c r="E126" t="s">
        <v>90</v>
      </c>
      <c r="F126" t="s">
        <v>863</v>
      </c>
      <c r="G126" t="s">
        <v>39</v>
      </c>
      <c r="H126" t="s">
        <v>23</v>
      </c>
      <c r="I126" t="s">
        <v>91</v>
      </c>
      <c r="J126">
        <v>5.5</v>
      </c>
      <c r="L126">
        <v>26</v>
      </c>
      <c r="M126">
        <v>2.2999999999999998</v>
      </c>
      <c r="N126">
        <v>3.6</v>
      </c>
      <c r="P126">
        <v>0</v>
      </c>
      <c r="Q126">
        <v>1</v>
      </c>
      <c r="R126">
        <v>3.2</v>
      </c>
      <c r="S126">
        <v>7.1</v>
      </c>
      <c r="T126">
        <v>5.0999999999999996</v>
      </c>
      <c r="U126">
        <v>6.3</v>
      </c>
      <c r="V126">
        <v>8.6</v>
      </c>
      <c r="W126">
        <v>8.9</v>
      </c>
      <c r="X126">
        <v>7.8</v>
      </c>
      <c r="Y126">
        <v>7.8</v>
      </c>
      <c r="AA126">
        <v>9.8000000000000007</v>
      </c>
      <c r="AB126">
        <v>7.6</v>
      </c>
      <c r="AC126">
        <v>4.0999999999999996</v>
      </c>
      <c r="AD126">
        <v>7.5</v>
      </c>
      <c r="AE126">
        <v>9.5</v>
      </c>
      <c r="AF126">
        <v>7.4</v>
      </c>
      <c r="AG126">
        <v>8.5</v>
      </c>
      <c r="AH126">
        <v>8.6999999999999993</v>
      </c>
      <c r="AI126">
        <v>7.7</v>
      </c>
      <c r="AJ126">
        <v>7.1</v>
      </c>
      <c r="AK126" t="s">
        <v>608</v>
      </c>
      <c r="AL126">
        <v>6.7</v>
      </c>
      <c r="AM126">
        <v>6.7</v>
      </c>
      <c r="AN126">
        <v>9</v>
      </c>
      <c r="AO126">
        <v>6</v>
      </c>
      <c r="AP126">
        <v>8</v>
      </c>
      <c r="AQ126">
        <v>7.5</v>
      </c>
      <c r="AR126">
        <v>10</v>
      </c>
      <c r="AS126">
        <v>8.3000000000000007</v>
      </c>
      <c r="AT126" t="s">
        <v>608</v>
      </c>
      <c r="AU126">
        <v>10</v>
      </c>
      <c r="AV126">
        <v>10</v>
      </c>
      <c r="AW126">
        <v>10</v>
      </c>
      <c r="AX126">
        <v>10</v>
      </c>
      <c r="AY126">
        <v>10</v>
      </c>
      <c r="AZ126">
        <v>10</v>
      </c>
      <c r="BA126">
        <v>10</v>
      </c>
      <c r="BB126">
        <v>10</v>
      </c>
      <c r="BC126">
        <v>10</v>
      </c>
      <c r="BD126">
        <v>10</v>
      </c>
      <c r="BE126">
        <v>10</v>
      </c>
      <c r="BF126">
        <v>10</v>
      </c>
      <c r="BG126">
        <v>10</v>
      </c>
      <c r="BH126">
        <v>10</v>
      </c>
      <c r="BI126">
        <v>10</v>
      </c>
      <c r="BJ126">
        <v>10</v>
      </c>
    </row>
    <row r="127" spans="1:62" x14ac:dyDescent="0.35">
      <c r="A127" t="s">
        <v>302</v>
      </c>
      <c r="B127" t="s">
        <v>302</v>
      </c>
      <c r="C127" t="s">
        <v>223</v>
      </c>
      <c r="D127" t="s">
        <v>864</v>
      </c>
      <c r="E127" t="s">
        <v>303</v>
      </c>
      <c r="F127" t="s">
        <v>865</v>
      </c>
      <c r="G127" t="s">
        <v>24</v>
      </c>
      <c r="H127" t="s">
        <v>23</v>
      </c>
      <c r="I127" t="s">
        <v>119</v>
      </c>
      <c r="J127">
        <v>6.8</v>
      </c>
      <c r="L127">
        <v>22</v>
      </c>
      <c r="M127">
        <v>6</v>
      </c>
      <c r="N127">
        <v>5.6</v>
      </c>
      <c r="P127">
        <v>4.0999999999999996</v>
      </c>
      <c r="Q127">
        <v>4.0999999999999996</v>
      </c>
      <c r="R127">
        <v>8.8000000000000007</v>
      </c>
      <c r="S127">
        <v>7.5</v>
      </c>
      <c r="T127">
        <v>7.5</v>
      </c>
      <c r="U127">
        <v>5.9</v>
      </c>
      <c r="V127">
        <v>8.1999999999999993</v>
      </c>
      <c r="W127">
        <v>8.3000000000000007</v>
      </c>
      <c r="X127">
        <v>8.1</v>
      </c>
      <c r="Y127">
        <v>8.4</v>
      </c>
      <c r="AA127">
        <v>6.2</v>
      </c>
      <c r="AB127">
        <v>7.4</v>
      </c>
      <c r="AC127" t="s">
        <v>26</v>
      </c>
      <c r="AD127">
        <v>0</v>
      </c>
      <c r="AE127">
        <v>9.8000000000000007</v>
      </c>
      <c r="AF127">
        <v>9.5</v>
      </c>
      <c r="AG127">
        <v>8</v>
      </c>
      <c r="AH127">
        <v>8.5</v>
      </c>
      <c r="AI127">
        <v>5.9</v>
      </c>
      <c r="AJ127">
        <v>6.7</v>
      </c>
      <c r="AL127">
        <v>5.3</v>
      </c>
      <c r="AM127">
        <v>6.7</v>
      </c>
      <c r="AN127">
        <v>5</v>
      </c>
      <c r="AO127">
        <v>7</v>
      </c>
      <c r="AP127" t="s">
        <v>26</v>
      </c>
      <c r="AQ127">
        <v>7.5</v>
      </c>
      <c r="AR127">
        <v>9.3000000000000007</v>
      </c>
      <c r="AS127">
        <v>8.5</v>
      </c>
      <c r="AT127" t="s">
        <v>608</v>
      </c>
      <c r="AU127">
        <v>10</v>
      </c>
      <c r="AV127">
        <v>10</v>
      </c>
      <c r="AW127">
        <v>10</v>
      </c>
      <c r="AX127">
        <v>10</v>
      </c>
      <c r="AY127">
        <v>9</v>
      </c>
      <c r="AZ127">
        <v>10</v>
      </c>
      <c r="BA127">
        <v>10</v>
      </c>
      <c r="BB127">
        <v>10</v>
      </c>
      <c r="BC127">
        <v>10</v>
      </c>
      <c r="BD127">
        <v>10</v>
      </c>
      <c r="BE127">
        <v>9</v>
      </c>
      <c r="BF127">
        <v>10</v>
      </c>
      <c r="BG127">
        <v>10</v>
      </c>
      <c r="BH127">
        <v>10</v>
      </c>
      <c r="BI127">
        <v>10</v>
      </c>
      <c r="BJ127">
        <v>10</v>
      </c>
    </row>
    <row r="128" spans="1:62" x14ac:dyDescent="0.35">
      <c r="A128" t="s">
        <v>92</v>
      </c>
      <c r="B128" t="s">
        <v>866</v>
      </c>
      <c r="C128" t="s">
        <v>21</v>
      </c>
      <c r="D128" t="s">
        <v>867</v>
      </c>
      <c r="E128" t="s">
        <v>93</v>
      </c>
      <c r="F128" t="s">
        <v>868</v>
      </c>
      <c r="G128" t="s">
        <v>24</v>
      </c>
      <c r="H128" t="s">
        <v>23</v>
      </c>
      <c r="I128" t="s">
        <v>94</v>
      </c>
      <c r="J128">
        <v>5.2</v>
      </c>
      <c r="L128">
        <v>29</v>
      </c>
      <c r="M128">
        <v>1.7</v>
      </c>
      <c r="N128">
        <v>3.6</v>
      </c>
      <c r="P128">
        <v>0</v>
      </c>
      <c r="Q128">
        <v>1</v>
      </c>
      <c r="R128">
        <v>4.4000000000000004</v>
      </c>
      <c r="S128">
        <v>7.1</v>
      </c>
      <c r="T128">
        <v>0</v>
      </c>
      <c r="U128">
        <v>6.3</v>
      </c>
      <c r="V128">
        <v>8.6</v>
      </c>
      <c r="W128">
        <v>8.9</v>
      </c>
      <c r="X128">
        <v>7.8</v>
      </c>
      <c r="Y128">
        <v>7.8</v>
      </c>
      <c r="AA128">
        <v>6.1</v>
      </c>
      <c r="AB128">
        <v>7.6</v>
      </c>
      <c r="AC128">
        <v>8.6</v>
      </c>
      <c r="AD128">
        <v>7.5</v>
      </c>
      <c r="AE128">
        <v>5.5</v>
      </c>
      <c r="AF128">
        <v>7.4</v>
      </c>
      <c r="AG128">
        <v>8.6999999999999993</v>
      </c>
      <c r="AH128">
        <v>8.6999999999999993</v>
      </c>
      <c r="AI128">
        <v>6.8</v>
      </c>
      <c r="AJ128">
        <v>7.1</v>
      </c>
      <c r="AL128">
        <v>6.7</v>
      </c>
      <c r="AM128">
        <v>6.7</v>
      </c>
      <c r="AN128" t="s">
        <v>26</v>
      </c>
      <c r="AO128">
        <v>6</v>
      </c>
      <c r="AP128" t="s">
        <v>26</v>
      </c>
      <c r="AQ128">
        <v>7.5</v>
      </c>
      <c r="AR128" t="s">
        <v>26</v>
      </c>
      <c r="AS128">
        <v>8.3000000000000007</v>
      </c>
      <c r="AU128" t="s">
        <v>26</v>
      </c>
      <c r="AV128">
        <v>10</v>
      </c>
      <c r="AW128" t="s">
        <v>26</v>
      </c>
      <c r="AX128">
        <v>10</v>
      </c>
      <c r="AY128" t="s">
        <v>26</v>
      </c>
      <c r="AZ128">
        <v>10</v>
      </c>
      <c r="BA128" t="s">
        <v>26</v>
      </c>
      <c r="BB128">
        <v>10</v>
      </c>
      <c r="BC128" t="s">
        <v>26</v>
      </c>
      <c r="BD128">
        <v>10</v>
      </c>
      <c r="BE128" t="s">
        <v>26</v>
      </c>
      <c r="BF128">
        <v>10</v>
      </c>
      <c r="BG128" t="s">
        <v>26</v>
      </c>
      <c r="BH128">
        <v>10</v>
      </c>
      <c r="BI128" t="s">
        <v>26</v>
      </c>
      <c r="BJ128">
        <v>10</v>
      </c>
    </row>
    <row r="129" spans="1:62" x14ac:dyDescent="0.35">
      <c r="A129" t="s">
        <v>122</v>
      </c>
      <c r="B129" t="s">
        <v>122</v>
      </c>
      <c r="C129" t="s">
        <v>110</v>
      </c>
      <c r="D129" t="s">
        <v>869</v>
      </c>
      <c r="E129" t="s">
        <v>123</v>
      </c>
      <c r="F129" t="s">
        <v>870</v>
      </c>
      <c r="G129" t="s">
        <v>39</v>
      </c>
      <c r="H129" t="s">
        <v>23</v>
      </c>
      <c r="I129" t="s">
        <v>124</v>
      </c>
      <c r="J129">
        <v>4.7</v>
      </c>
      <c r="L129">
        <v>11</v>
      </c>
      <c r="M129">
        <v>1.5</v>
      </c>
      <c r="N129">
        <v>4</v>
      </c>
      <c r="P129">
        <v>0</v>
      </c>
      <c r="Q129">
        <v>2.9</v>
      </c>
      <c r="R129">
        <v>0</v>
      </c>
      <c r="S129">
        <v>5.8</v>
      </c>
      <c r="T129">
        <v>3.9</v>
      </c>
      <c r="U129">
        <v>7.5</v>
      </c>
      <c r="V129">
        <v>9.6</v>
      </c>
      <c r="W129">
        <v>9.3000000000000007</v>
      </c>
      <c r="X129">
        <v>6.5</v>
      </c>
      <c r="Y129">
        <v>8.4</v>
      </c>
      <c r="Z129" t="s">
        <v>605</v>
      </c>
      <c r="AA129">
        <v>4.0999999999999996</v>
      </c>
      <c r="AB129">
        <v>8.5</v>
      </c>
      <c r="AC129">
        <v>5.3</v>
      </c>
      <c r="AD129">
        <v>7.9</v>
      </c>
      <c r="AE129">
        <v>7.4</v>
      </c>
      <c r="AF129">
        <v>8.8000000000000007</v>
      </c>
      <c r="AG129">
        <v>7.5</v>
      </c>
      <c r="AH129">
        <v>8.6999999999999993</v>
      </c>
      <c r="AI129">
        <v>7.5</v>
      </c>
      <c r="AJ129">
        <v>6.6</v>
      </c>
      <c r="AK129" t="s">
        <v>608</v>
      </c>
      <c r="AL129">
        <v>7.3</v>
      </c>
      <c r="AM129">
        <v>6.7</v>
      </c>
      <c r="AN129">
        <v>7</v>
      </c>
      <c r="AO129">
        <v>6</v>
      </c>
      <c r="AP129">
        <v>8</v>
      </c>
      <c r="AQ129">
        <v>7</v>
      </c>
      <c r="AR129" t="s">
        <v>26</v>
      </c>
      <c r="AS129">
        <v>8.6999999999999993</v>
      </c>
      <c r="AU129" t="s">
        <v>26</v>
      </c>
      <c r="AV129">
        <v>9.6</v>
      </c>
      <c r="AW129" t="s">
        <v>26</v>
      </c>
      <c r="AX129">
        <v>10</v>
      </c>
      <c r="AY129" t="s">
        <v>26</v>
      </c>
      <c r="AZ129">
        <v>10</v>
      </c>
      <c r="BA129" t="s">
        <v>26</v>
      </c>
      <c r="BB129">
        <v>10</v>
      </c>
      <c r="BC129" t="s">
        <v>26</v>
      </c>
      <c r="BD129">
        <v>10</v>
      </c>
      <c r="BE129" t="s">
        <v>26</v>
      </c>
      <c r="BF129">
        <v>10</v>
      </c>
      <c r="BG129" t="s">
        <v>26</v>
      </c>
      <c r="BH129">
        <v>10</v>
      </c>
      <c r="BI129" t="s">
        <v>26</v>
      </c>
      <c r="BJ129">
        <v>9.6</v>
      </c>
    </row>
    <row r="130" spans="1:62" x14ac:dyDescent="0.35">
      <c r="A130" t="s">
        <v>357</v>
      </c>
      <c r="B130" t="s">
        <v>871</v>
      </c>
      <c r="C130" t="s">
        <v>319</v>
      </c>
      <c r="D130" t="s">
        <v>872</v>
      </c>
      <c r="E130" t="s">
        <v>358</v>
      </c>
      <c r="F130" t="s">
        <v>873</v>
      </c>
      <c r="G130" t="s">
        <v>24</v>
      </c>
      <c r="H130" t="s">
        <v>23</v>
      </c>
      <c r="I130" t="s">
        <v>343</v>
      </c>
      <c r="J130">
        <v>6.6</v>
      </c>
      <c r="K130" t="s">
        <v>605</v>
      </c>
      <c r="L130">
        <v>8</v>
      </c>
      <c r="M130">
        <v>4.7</v>
      </c>
      <c r="N130">
        <v>3.75</v>
      </c>
      <c r="O130" t="s">
        <v>605</v>
      </c>
      <c r="P130">
        <v>3.5</v>
      </c>
      <c r="Q130">
        <v>0</v>
      </c>
      <c r="R130">
        <v>6</v>
      </c>
      <c r="S130">
        <v>7.1</v>
      </c>
      <c r="T130">
        <v>5.2</v>
      </c>
      <c r="U130">
        <v>8</v>
      </c>
      <c r="V130">
        <v>7.7</v>
      </c>
      <c r="W130">
        <v>8.3000000000000007</v>
      </c>
      <c r="X130">
        <v>8.1</v>
      </c>
      <c r="Y130">
        <v>8</v>
      </c>
      <c r="Z130" t="s">
        <v>605</v>
      </c>
      <c r="AA130">
        <v>0</v>
      </c>
      <c r="AB130">
        <v>7.6</v>
      </c>
      <c r="AC130" t="s">
        <v>26</v>
      </c>
      <c r="AD130">
        <v>0</v>
      </c>
      <c r="AE130">
        <v>0</v>
      </c>
      <c r="AF130">
        <v>8.8000000000000007</v>
      </c>
      <c r="AG130">
        <v>0</v>
      </c>
      <c r="AH130">
        <v>7.5</v>
      </c>
      <c r="AI130">
        <v>7.7</v>
      </c>
      <c r="AJ130">
        <v>6.7</v>
      </c>
      <c r="AK130" t="s">
        <v>662</v>
      </c>
      <c r="AL130">
        <v>7.3</v>
      </c>
      <c r="AM130">
        <v>6.7</v>
      </c>
      <c r="AN130">
        <v>8</v>
      </c>
      <c r="AO130">
        <v>7</v>
      </c>
      <c r="AP130">
        <v>8</v>
      </c>
      <c r="AQ130">
        <v>6</v>
      </c>
      <c r="AR130" t="s">
        <v>26</v>
      </c>
      <c r="AS130">
        <v>8.5</v>
      </c>
      <c r="AU130" t="s">
        <v>26</v>
      </c>
      <c r="AV130">
        <v>10</v>
      </c>
      <c r="AW130" t="s">
        <v>26</v>
      </c>
      <c r="AX130">
        <v>10</v>
      </c>
      <c r="AY130" t="s">
        <v>26</v>
      </c>
      <c r="AZ130">
        <v>10</v>
      </c>
      <c r="BA130" t="s">
        <v>26</v>
      </c>
      <c r="BB130">
        <v>10</v>
      </c>
      <c r="BC130" t="s">
        <v>26</v>
      </c>
      <c r="BD130">
        <v>10</v>
      </c>
      <c r="BE130" t="s">
        <v>26</v>
      </c>
      <c r="BF130">
        <v>10</v>
      </c>
      <c r="BG130" t="s">
        <v>26</v>
      </c>
      <c r="BH130">
        <v>10</v>
      </c>
      <c r="BI130" t="s">
        <v>26</v>
      </c>
      <c r="BJ130">
        <v>10</v>
      </c>
    </row>
    <row r="131" spans="1:62" x14ac:dyDescent="0.35">
      <c r="A131" t="s">
        <v>129</v>
      </c>
      <c r="B131" t="s">
        <v>129</v>
      </c>
      <c r="C131" t="s">
        <v>110</v>
      </c>
      <c r="D131" t="s">
        <v>874</v>
      </c>
      <c r="E131" t="s">
        <v>131</v>
      </c>
      <c r="F131" t="s">
        <v>875</v>
      </c>
      <c r="G131" t="s">
        <v>39</v>
      </c>
      <c r="H131" t="s">
        <v>23</v>
      </c>
      <c r="I131" t="s">
        <v>48</v>
      </c>
      <c r="J131">
        <v>5.3</v>
      </c>
      <c r="L131">
        <v>10</v>
      </c>
      <c r="M131">
        <v>3</v>
      </c>
      <c r="N131">
        <v>4</v>
      </c>
      <c r="P131">
        <v>0</v>
      </c>
      <c r="Q131">
        <v>2.9</v>
      </c>
      <c r="R131">
        <v>4.7</v>
      </c>
      <c r="S131">
        <v>5.8</v>
      </c>
      <c r="T131">
        <v>7.5</v>
      </c>
      <c r="U131">
        <v>7.5</v>
      </c>
      <c r="V131">
        <v>9.1999999999999993</v>
      </c>
      <c r="W131">
        <v>9.3000000000000007</v>
      </c>
      <c r="X131">
        <v>6.2</v>
      </c>
      <c r="Y131">
        <v>8.4</v>
      </c>
      <c r="Z131" t="s">
        <v>605</v>
      </c>
      <c r="AA131">
        <v>0</v>
      </c>
      <c r="AB131">
        <v>8.5</v>
      </c>
      <c r="AC131">
        <v>0</v>
      </c>
      <c r="AD131">
        <v>7.9</v>
      </c>
      <c r="AE131">
        <v>8.8000000000000007</v>
      </c>
      <c r="AF131">
        <v>8.8000000000000007</v>
      </c>
      <c r="AG131">
        <v>0</v>
      </c>
      <c r="AH131">
        <v>8.6999999999999993</v>
      </c>
      <c r="AI131">
        <v>7.9</v>
      </c>
      <c r="AJ131">
        <v>6.6</v>
      </c>
      <c r="AK131" t="s">
        <v>662</v>
      </c>
      <c r="AL131">
        <v>7.3</v>
      </c>
      <c r="AM131">
        <v>6.7</v>
      </c>
      <c r="AN131">
        <v>7</v>
      </c>
      <c r="AO131">
        <v>6</v>
      </c>
      <c r="AP131">
        <v>9</v>
      </c>
      <c r="AQ131">
        <v>7</v>
      </c>
      <c r="AR131">
        <v>8.3000000000000007</v>
      </c>
      <c r="AS131">
        <v>8.6999999999999993</v>
      </c>
      <c r="AT131" t="s">
        <v>608</v>
      </c>
      <c r="AU131">
        <v>10</v>
      </c>
      <c r="AV131">
        <v>9.6</v>
      </c>
      <c r="AW131">
        <v>10</v>
      </c>
      <c r="AX131">
        <v>10</v>
      </c>
      <c r="AY131">
        <v>10</v>
      </c>
      <c r="AZ131">
        <v>10</v>
      </c>
      <c r="BA131">
        <v>10</v>
      </c>
      <c r="BB131">
        <v>10</v>
      </c>
      <c r="BC131">
        <v>10</v>
      </c>
      <c r="BD131">
        <v>10</v>
      </c>
      <c r="BE131">
        <v>8</v>
      </c>
      <c r="BF131">
        <v>10</v>
      </c>
      <c r="BG131">
        <v>10</v>
      </c>
      <c r="BH131">
        <v>10</v>
      </c>
      <c r="BI131">
        <v>10</v>
      </c>
      <c r="BJ131">
        <v>9.6</v>
      </c>
    </row>
    <row r="132" spans="1:62" x14ac:dyDescent="0.35">
      <c r="A132" t="s">
        <v>359</v>
      </c>
      <c r="B132" t="s">
        <v>359</v>
      </c>
      <c r="C132" t="s">
        <v>319</v>
      </c>
      <c r="D132" t="s">
        <v>876</v>
      </c>
      <c r="E132" t="s">
        <v>360</v>
      </c>
      <c r="F132" t="s">
        <v>877</v>
      </c>
      <c r="G132" t="s">
        <v>361</v>
      </c>
      <c r="H132" t="s">
        <v>23</v>
      </c>
      <c r="I132" t="s">
        <v>25</v>
      </c>
      <c r="J132">
        <v>7.7</v>
      </c>
      <c r="K132" t="s">
        <v>662</v>
      </c>
      <c r="L132">
        <v>3</v>
      </c>
      <c r="M132">
        <v>7</v>
      </c>
      <c r="N132">
        <v>3.75</v>
      </c>
      <c r="O132" t="s">
        <v>608</v>
      </c>
      <c r="P132">
        <v>6</v>
      </c>
      <c r="Q132">
        <v>0</v>
      </c>
      <c r="R132">
        <v>6.6</v>
      </c>
      <c r="S132">
        <v>7.1</v>
      </c>
      <c r="T132">
        <v>9.3000000000000007</v>
      </c>
      <c r="U132">
        <v>8</v>
      </c>
      <c r="V132">
        <v>9.4</v>
      </c>
      <c r="W132">
        <v>8.3000000000000007</v>
      </c>
      <c r="X132">
        <v>8.8000000000000007</v>
      </c>
      <c r="Y132">
        <v>8</v>
      </c>
      <c r="Z132" t="s">
        <v>662</v>
      </c>
      <c r="AA132">
        <v>7.7</v>
      </c>
      <c r="AB132">
        <v>7.6</v>
      </c>
      <c r="AC132" t="s">
        <v>26</v>
      </c>
      <c r="AD132">
        <v>0</v>
      </c>
      <c r="AE132">
        <v>9.4</v>
      </c>
      <c r="AF132">
        <v>8.8000000000000007</v>
      </c>
      <c r="AG132">
        <v>9</v>
      </c>
      <c r="AH132">
        <v>7.5</v>
      </c>
      <c r="AI132">
        <v>6.9</v>
      </c>
      <c r="AJ132">
        <v>6.7</v>
      </c>
      <c r="AK132" t="s">
        <v>605</v>
      </c>
      <c r="AL132">
        <v>6.7</v>
      </c>
      <c r="AM132">
        <v>6.7</v>
      </c>
      <c r="AN132">
        <v>7</v>
      </c>
      <c r="AO132">
        <v>7</v>
      </c>
      <c r="AP132">
        <v>7</v>
      </c>
      <c r="AQ132">
        <v>6</v>
      </c>
      <c r="AR132">
        <v>7.9</v>
      </c>
      <c r="AS132">
        <v>8.5</v>
      </c>
      <c r="AT132" t="s">
        <v>605</v>
      </c>
      <c r="AU132">
        <v>8</v>
      </c>
      <c r="AV132">
        <v>10</v>
      </c>
      <c r="AW132">
        <v>10</v>
      </c>
      <c r="AX132">
        <v>10</v>
      </c>
      <c r="AY132">
        <v>10</v>
      </c>
      <c r="AZ132">
        <v>10</v>
      </c>
      <c r="BA132">
        <v>8</v>
      </c>
      <c r="BB132">
        <v>10</v>
      </c>
      <c r="BC132">
        <v>8</v>
      </c>
      <c r="BD132">
        <v>10</v>
      </c>
      <c r="BE132">
        <v>10</v>
      </c>
      <c r="BF132">
        <v>10</v>
      </c>
      <c r="BG132">
        <v>10</v>
      </c>
      <c r="BH132">
        <v>10</v>
      </c>
      <c r="BI132">
        <v>10</v>
      </c>
      <c r="BJ132">
        <v>10</v>
      </c>
    </row>
    <row r="133" spans="1:62" x14ac:dyDescent="0.35">
      <c r="A133" t="s">
        <v>95</v>
      </c>
      <c r="B133" t="s">
        <v>95</v>
      </c>
      <c r="C133" t="s">
        <v>21</v>
      </c>
      <c r="D133" t="s">
        <v>878</v>
      </c>
      <c r="E133" t="s">
        <v>96</v>
      </c>
      <c r="F133" t="s">
        <v>879</v>
      </c>
      <c r="G133" t="s">
        <v>24</v>
      </c>
      <c r="H133" t="s">
        <v>23</v>
      </c>
      <c r="I133" t="s">
        <v>97</v>
      </c>
      <c r="J133">
        <v>5.8</v>
      </c>
      <c r="L133">
        <v>21</v>
      </c>
      <c r="M133">
        <v>3.6</v>
      </c>
      <c r="N133">
        <v>3.6</v>
      </c>
      <c r="P133">
        <v>0</v>
      </c>
      <c r="Q133">
        <v>1</v>
      </c>
      <c r="R133">
        <v>7.5</v>
      </c>
      <c r="S133">
        <v>7.1</v>
      </c>
      <c r="T133">
        <v>7.8</v>
      </c>
      <c r="U133">
        <v>6.3</v>
      </c>
      <c r="V133">
        <v>8.9</v>
      </c>
      <c r="W133">
        <v>8.9</v>
      </c>
      <c r="X133">
        <v>7.1</v>
      </c>
      <c r="Y133">
        <v>7.8</v>
      </c>
      <c r="AA133">
        <v>7.1</v>
      </c>
      <c r="AB133">
        <v>7.6</v>
      </c>
      <c r="AC133">
        <v>5.5</v>
      </c>
      <c r="AD133">
        <v>7.5</v>
      </c>
      <c r="AE133">
        <v>5.5</v>
      </c>
      <c r="AF133">
        <v>7.4</v>
      </c>
      <c r="AG133">
        <v>8.5</v>
      </c>
      <c r="AH133">
        <v>8.6999999999999993</v>
      </c>
      <c r="AI133">
        <v>7.7</v>
      </c>
      <c r="AJ133">
        <v>7.1</v>
      </c>
      <c r="AK133" t="s">
        <v>608</v>
      </c>
      <c r="AL133">
        <v>7.3</v>
      </c>
      <c r="AM133">
        <v>6.7</v>
      </c>
      <c r="AN133">
        <v>8</v>
      </c>
      <c r="AO133">
        <v>6</v>
      </c>
      <c r="AP133">
        <v>8</v>
      </c>
      <c r="AQ133">
        <v>7.5</v>
      </c>
      <c r="AR133">
        <v>7</v>
      </c>
      <c r="AS133">
        <v>8.3000000000000007</v>
      </c>
      <c r="AU133">
        <v>8</v>
      </c>
      <c r="AV133">
        <v>10</v>
      </c>
      <c r="AW133">
        <v>8</v>
      </c>
      <c r="AX133">
        <v>10</v>
      </c>
      <c r="AY133">
        <v>8</v>
      </c>
      <c r="AZ133">
        <v>10</v>
      </c>
      <c r="BA133">
        <v>8</v>
      </c>
      <c r="BB133">
        <v>10</v>
      </c>
      <c r="BC133">
        <v>8</v>
      </c>
      <c r="BD133">
        <v>10</v>
      </c>
      <c r="BE133">
        <v>8</v>
      </c>
      <c r="BF133">
        <v>10</v>
      </c>
      <c r="BG133">
        <v>8</v>
      </c>
      <c r="BH133">
        <v>10</v>
      </c>
      <c r="BI133">
        <v>8</v>
      </c>
      <c r="BJ133">
        <v>10</v>
      </c>
    </row>
    <row r="134" spans="1:62" x14ac:dyDescent="0.35">
      <c r="A134" t="s">
        <v>263</v>
      </c>
      <c r="B134" t="s">
        <v>263</v>
      </c>
      <c r="C134" t="s">
        <v>223</v>
      </c>
      <c r="D134" t="s">
        <v>880</v>
      </c>
      <c r="E134" t="s">
        <v>264</v>
      </c>
      <c r="F134" t="s">
        <v>881</v>
      </c>
      <c r="G134" t="s">
        <v>24</v>
      </c>
      <c r="H134" t="s">
        <v>23</v>
      </c>
      <c r="I134" t="s">
        <v>73</v>
      </c>
      <c r="J134">
        <v>7.5</v>
      </c>
      <c r="L134">
        <v>14</v>
      </c>
      <c r="M134">
        <v>6.7</v>
      </c>
      <c r="N134">
        <v>5.6</v>
      </c>
      <c r="P134">
        <v>6.5</v>
      </c>
      <c r="Q134">
        <v>4.0999999999999996</v>
      </c>
      <c r="R134">
        <v>7.5</v>
      </c>
      <c r="S134">
        <v>7.5</v>
      </c>
      <c r="T134">
        <v>5.9</v>
      </c>
      <c r="U134">
        <v>5.9</v>
      </c>
      <c r="V134">
        <v>7.2</v>
      </c>
      <c r="W134">
        <v>8.3000000000000007</v>
      </c>
      <c r="X134">
        <v>8.6999999999999993</v>
      </c>
      <c r="Y134">
        <v>8.4</v>
      </c>
      <c r="AA134">
        <v>8.6999999999999993</v>
      </c>
      <c r="AB134">
        <v>7.4</v>
      </c>
      <c r="AC134" t="s">
        <v>26</v>
      </c>
      <c r="AD134">
        <v>0</v>
      </c>
      <c r="AE134">
        <v>9.6</v>
      </c>
      <c r="AF134">
        <v>9.5</v>
      </c>
      <c r="AG134">
        <v>8</v>
      </c>
      <c r="AH134">
        <v>8.5</v>
      </c>
      <c r="AI134">
        <v>6.9</v>
      </c>
      <c r="AJ134">
        <v>6.7</v>
      </c>
      <c r="AL134">
        <v>6.7</v>
      </c>
      <c r="AM134">
        <v>6.7</v>
      </c>
      <c r="AN134">
        <v>7</v>
      </c>
      <c r="AO134">
        <v>7</v>
      </c>
      <c r="AP134" t="s">
        <v>26</v>
      </c>
      <c r="AQ134">
        <v>7.5</v>
      </c>
      <c r="AR134">
        <v>8.5</v>
      </c>
      <c r="AS134">
        <v>8.5</v>
      </c>
      <c r="AU134">
        <v>10</v>
      </c>
      <c r="AV134">
        <v>10</v>
      </c>
      <c r="AW134">
        <v>10</v>
      </c>
      <c r="AX134">
        <v>10</v>
      </c>
      <c r="AY134">
        <v>10</v>
      </c>
      <c r="AZ134">
        <v>10</v>
      </c>
      <c r="BA134">
        <v>10</v>
      </c>
      <c r="BB134">
        <v>10</v>
      </c>
      <c r="BC134">
        <v>10</v>
      </c>
      <c r="BD134">
        <v>10</v>
      </c>
      <c r="BE134">
        <v>10</v>
      </c>
      <c r="BF134">
        <v>10</v>
      </c>
      <c r="BG134">
        <v>10</v>
      </c>
      <c r="BH134">
        <v>10</v>
      </c>
      <c r="BI134">
        <v>10</v>
      </c>
      <c r="BJ134">
        <v>10</v>
      </c>
    </row>
    <row r="135" spans="1:62" x14ac:dyDescent="0.35">
      <c r="A135" t="s">
        <v>169</v>
      </c>
      <c r="B135" t="s">
        <v>169</v>
      </c>
      <c r="C135" t="s">
        <v>135</v>
      </c>
      <c r="D135" t="s">
        <v>882</v>
      </c>
      <c r="E135" t="s">
        <v>170</v>
      </c>
      <c r="F135" t="s">
        <v>883</v>
      </c>
      <c r="G135" t="s">
        <v>24</v>
      </c>
      <c r="H135" t="s">
        <v>23</v>
      </c>
      <c r="I135" t="s">
        <v>166</v>
      </c>
      <c r="J135">
        <v>5.7</v>
      </c>
      <c r="L135">
        <v>25</v>
      </c>
      <c r="M135">
        <v>3.2</v>
      </c>
      <c r="N135">
        <v>4.9000000000000004</v>
      </c>
      <c r="P135">
        <v>0</v>
      </c>
      <c r="Q135">
        <v>3.2</v>
      </c>
      <c r="R135">
        <v>6.6</v>
      </c>
      <c r="S135">
        <v>6</v>
      </c>
      <c r="T135">
        <v>6.9</v>
      </c>
      <c r="U135">
        <v>6.8</v>
      </c>
      <c r="V135">
        <v>8.6</v>
      </c>
      <c r="W135">
        <v>8.5</v>
      </c>
      <c r="X135">
        <v>7.5</v>
      </c>
      <c r="Y135">
        <v>8.1999999999999993</v>
      </c>
      <c r="AA135">
        <v>4.7</v>
      </c>
      <c r="AB135">
        <v>7.3</v>
      </c>
      <c r="AC135">
        <v>8.1999999999999993</v>
      </c>
      <c r="AD135">
        <v>8.6</v>
      </c>
      <c r="AE135">
        <v>9.8000000000000007</v>
      </c>
      <c r="AF135">
        <v>9.4</v>
      </c>
      <c r="AG135">
        <v>7.2</v>
      </c>
      <c r="AH135">
        <v>8.1999999999999993</v>
      </c>
      <c r="AI135">
        <v>7.3</v>
      </c>
      <c r="AJ135">
        <v>7.1</v>
      </c>
      <c r="AL135">
        <v>7.3</v>
      </c>
      <c r="AM135">
        <v>7.3</v>
      </c>
      <c r="AN135">
        <v>6</v>
      </c>
      <c r="AO135">
        <v>7</v>
      </c>
      <c r="AP135">
        <v>8</v>
      </c>
      <c r="AQ135">
        <v>8</v>
      </c>
      <c r="AR135">
        <v>8.5</v>
      </c>
      <c r="AS135">
        <v>8.5</v>
      </c>
      <c r="AU135">
        <v>10</v>
      </c>
      <c r="AV135">
        <v>10</v>
      </c>
      <c r="AW135">
        <v>10</v>
      </c>
      <c r="AX135">
        <v>10</v>
      </c>
      <c r="AY135">
        <v>10</v>
      </c>
      <c r="AZ135">
        <v>10</v>
      </c>
      <c r="BA135">
        <v>10</v>
      </c>
      <c r="BB135">
        <v>10</v>
      </c>
      <c r="BC135">
        <v>10</v>
      </c>
      <c r="BD135">
        <v>10</v>
      </c>
      <c r="BE135">
        <v>10</v>
      </c>
      <c r="BF135">
        <v>10</v>
      </c>
      <c r="BG135">
        <v>10</v>
      </c>
      <c r="BH135">
        <v>10</v>
      </c>
      <c r="BI135">
        <v>10</v>
      </c>
      <c r="BJ135">
        <v>10</v>
      </c>
    </row>
    <row r="136" spans="1:62" x14ac:dyDescent="0.35">
      <c r="A136" t="s">
        <v>98</v>
      </c>
      <c r="B136" t="s">
        <v>98</v>
      </c>
      <c r="C136" t="s">
        <v>21</v>
      </c>
      <c r="D136" t="s">
        <v>884</v>
      </c>
      <c r="E136" t="s">
        <v>99</v>
      </c>
      <c r="F136" t="s">
        <v>885</v>
      </c>
      <c r="G136" t="s">
        <v>24</v>
      </c>
      <c r="H136" t="s">
        <v>23</v>
      </c>
      <c r="I136" t="s">
        <v>33</v>
      </c>
      <c r="J136">
        <v>5.9</v>
      </c>
      <c r="L136">
        <v>17</v>
      </c>
      <c r="M136">
        <v>3.6</v>
      </c>
      <c r="N136">
        <v>3.6</v>
      </c>
      <c r="P136">
        <v>1</v>
      </c>
      <c r="Q136">
        <v>1</v>
      </c>
      <c r="R136">
        <v>7.8</v>
      </c>
      <c r="S136">
        <v>7.1</v>
      </c>
      <c r="T136">
        <v>4.3</v>
      </c>
      <c r="U136">
        <v>6.3</v>
      </c>
      <c r="V136">
        <v>7.9</v>
      </c>
      <c r="W136">
        <v>8.9</v>
      </c>
      <c r="X136">
        <v>7.5</v>
      </c>
      <c r="Y136">
        <v>7.8</v>
      </c>
      <c r="AA136">
        <v>7.6</v>
      </c>
      <c r="AB136">
        <v>7.6</v>
      </c>
      <c r="AC136">
        <v>5</v>
      </c>
      <c r="AD136">
        <v>7.5</v>
      </c>
      <c r="AE136">
        <v>8.8000000000000007</v>
      </c>
      <c r="AF136">
        <v>7.4</v>
      </c>
      <c r="AG136">
        <v>8.3000000000000007</v>
      </c>
      <c r="AH136">
        <v>8.6999999999999993</v>
      </c>
      <c r="AI136">
        <v>7.5</v>
      </c>
      <c r="AJ136">
        <v>7.1</v>
      </c>
      <c r="AK136" t="s">
        <v>605</v>
      </c>
      <c r="AL136">
        <v>8.6999999999999993</v>
      </c>
      <c r="AM136">
        <v>6.7</v>
      </c>
      <c r="AN136">
        <v>6</v>
      </c>
      <c r="AO136">
        <v>6</v>
      </c>
      <c r="AP136">
        <v>7</v>
      </c>
      <c r="AQ136">
        <v>7.5</v>
      </c>
      <c r="AR136" t="s">
        <v>26</v>
      </c>
      <c r="AS136">
        <v>8.3000000000000007</v>
      </c>
      <c r="AU136" t="s">
        <v>26</v>
      </c>
      <c r="AV136">
        <v>10</v>
      </c>
      <c r="AW136" t="s">
        <v>26</v>
      </c>
      <c r="AX136">
        <v>10</v>
      </c>
      <c r="AY136" t="s">
        <v>26</v>
      </c>
      <c r="AZ136">
        <v>10</v>
      </c>
      <c r="BA136" t="s">
        <v>26</v>
      </c>
      <c r="BB136">
        <v>10</v>
      </c>
      <c r="BC136" t="s">
        <v>26</v>
      </c>
      <c r="BD136">
        <v>10</v>
      </c>
      <c r="BE136" t="s">
        <v>26</v>
      </c>
      <c r="BF136">
        <v>10</v>
      </c>
      <c r="BG136" t="s">
        <v>26</v>
      </c>
      <c r="BH136">
        <v>10</v>
      </c>
      <c r="BI136" t="s">
        <v>26</v>
      </c>
      <c r="BJ136">
        <v>10</v>
      </c>
    </row>
    <row r="137" spans="1:62" x14ac:dyDescent="0.35">
      <c r="A137" t="s">
        <v>395</v>
      </c>
      <c r="B137" t="s">
        <v>395</v>
      </c>
      <c r="C137" t="s">
        <v>366</v>
      </c>
      <c r="D137" t="s">
        <v>886</v>
      </c>
      <c r="E137" t="s">
        <v>396</v>
      </c>
      <c r="F137" t="s">
        <v>887</v>
      </c>
      <c r="G137" t="s">
        <v>39</v>
      </c>
      <c r="H137" t="s">
        <v>23</v>
      </c>
      <c r="I137" t="s">
        <v>397</v>
      </c>
      <c r="J137">
        <v>4.5</v>
      </c>
      <c r="L137">
        <v>17</v>
      </c>
      <c r="M137">
        <v>0.9</v>
      </c>
      <c r="N137">
        <v>3.35</v>
      </c>
      <c r="P137">
        <v>0</v>
      </c>
      <c r="Q137">
        <v>0</v>
      </c>
      <c r="R137">
        <v>0</v>
      </c>
      <c r="S137">
        <v>7.1</v>
      </c>
      <c r="T137">
        <v>0</v>
      </c>
      <c r="U137">
        <v>7.1</v>
      </c>
      <c r="V137">
        <v>9.4</v>
      </c>
      <c r="W137">
        <v>8.9</v>
      </c>
      <c r="X137">
        <v>7.5</v>
      </c>
      <c r="Y137">
        <v>8.6</v>
      </c>
      <c r="AA137">
        <v>6.8</v>
      </c>
      <c r="AB137">
        <v>8.6</v>
      </c>
      <c r="AC137" t="s">
        <v>26</v>
      </c>
      <c r="AD137">
        <v>0</v>
      </c>
      <c r="AE137">
        <v>8</v>
      </c>
      <c r="AF137">
        <v>8.9</v>
      </c>
      <c r="AG137">
        <v>7.5</v>
      </c>
      <c r="AH137">
        <v>8.6999999999999993</v>
      </c>
      <c r="AI137">
        <v>5.9</v>
      </c>
      <c r="AJ137">
        <v>6.4</v>
      </c>
      <c r="AL137">
        <v>5.3</v>
      </c>
      <c r="AM137">
        <v>5.3</v>
      </c>
      <c r="AN137">
        <v>7</v>
      </c>
      <c r="AO137">
        <v>7</v>
      </c>
      <c r="AP137">
        <v>6</v>
      </c>
      <c r="AQ137">
        <v>7.5</v>
      </c>
      <c r="AR137">
        <v>8.1</v>
      </c>
      <c r="AS137">
        <v>8.3000000000000007</v>
      </c>
      <c r="AT137" t="s">
        <v>605</v>
      </c>
      <c r="AU137">
        <v>8</v>
      </c>
      <c r="AV137">
        <v>10</v>
      </c>
      <c r="AW137">
        <v>10</v>
      </c>
      <c r="AX137">
        <v>10</v>
      </c>
      <c r="AY137">
        <v>10</v>
      </c>
      <c r="AZ137">
        <v>10</v>
      </c>
      <c r="BA137">
        <v>10</v>
      </c>
      <c r="BB137">
        <v>10</v>
      </c>
      <c r="BC137">
        <v>10</v>
      </c>
      <c r="BD137">
        <v>10</v>
      </c>
      <c r="BE137">
        <v>10</v>
      </c>
      <c r="BF137">
        <v>10</v>
      </c>
      <c r="BG137">
        <v>10</v>
      </c>
      <c r="BH137">
        <v>10</v>
      </c>
      <c r="BI137">
        <v>8</v>
      </c>
      <c r="BJ137">
        <v>10</v>
      </c>
    </row>
    <row r="138" spans="1:62" x14ac:dyDescent="0.35">
      <c r="A138" t="s">
        <v>304</v>
      </c>
      <c r="B138" t="s">
        <v>304</v>
      </c>
      <c r="C138" t="s">
        <v>223</v>
      </c>
      <c r="D138" t="s">
        <v>888</v>
      </c>
      <c r="E138" t="s">
        <v>305</v>
      </c>
      <c r="F138" t="s">
        <v>889</v>
      </c>
      <c r="G138" t="s">
        <v>24</v>
      </c>
      <c r="H138" t="s">
        <v>23</v>
      </c>
      <c r="I138" t="s">
        <v>306</v>
      </c>
      <c r="J138">
        <v>5.2</v>
      </c>
      <c r="L138">
        <v>39</v>
      </c>
      <c r="M138">
        <v>2.8</v>
      </c>
      <c r="N138">
        <v>5.6</v>
      </c>
      <c r="P138">
        <v>0</v>
      </c>
      <c r="Q138">
        <v>4.0999999999999996</v>
      </c>
      <c r="R138">
        <v>5.8</v>
      </c>
      <c r="S138">
        <v>7.5</v>
      </c>
      <c r="T138">
        <v>5.4</v>
      </c>
      <c r="U138">
        <v>5.9</v>
      </c>
      <c r="V138">
        <v>8</v>
      </c>
      <c r="W138">
        <v>8.3000000000000007</v>
      </c>
      <c r="X138">
        <v>7.3</v>
      </c>
      <c r="Y138">
        <v>8.4</v>
      </c>
      <c r="AA138">
        <v>2.8</v>
      </c>
      <c r="AB138">
        <v>7.4</v>
      </c>
      <c r="AC138" t="s">
        <v>26</v>
      </c>
      <c r="AD138">
        <v>0</v>
      </c>
      <c r="AE138">
        <v>9.3000000000000007</v>
      </c>
      <c r="AF138">
        <v>9.5</v>
      </c>
      <c r="AG138">
        <v>8.5</v>
      </c>
      <c r="AH138">
        <v>8.5</v>
      </c>
      <c r="AI138">
        <v>5.9</v>
      </c>
      <c r="AJ138">
        <v>6.7</v>
      </c>
      <c r="AL138">
        <v>4.7</v>
      </c>
      <c r="AM138">
        <v>6.7</v>
      </c>
      <c r="AN138">
        <v>8</v>
      </c>
      <c r="AO138">
        <v>7</v>
      </c>
      <c r="AP138">
        <v>6</v>
      </c>
      <c r="AQ138">
        <v>7.5</v>
      </c>
      <c r="AR138">
        <v>8.5</v>
      </c>
      <c r="AS138">
        <v>8.5</v>
      </c>
      <c r="AU138">
        <v>10</v>
      </c>
      <c r="AV138">
        <v>10</v>
      </c>
      <c r="AW138">
        <v>10</v>
      </c>
      <c r="AX138">
        <v>10</v>
      </c>
      <c r="AY138">
        <v>10</v>
      </c>
      <c r="AZ138">
        <v>10</v>
      </c>
      <c r="BA138">
        <v>10</v>
      </c>
      <c r="BB138">
        <v>10</v>
      </c>
      <c r="BC138">
        <v>10</v>
      </c>
      <c r="BD138">
        <v>10</v>
      </c>
      <c r="BE138">
        <v>10</v>
      </c>
      <c r="BF138">
        <v>10</v>
      </c>
      <c r="BG138">
        <v>10</v>
      </c>
      <c r="BH138">
        <v>10</v>
      </c>
      <c r="BI138">
        <v>10</v>
      </c>
      <c r="BJ138">
        <v>10</v>
      </c>
    </row>
    <row r="139" spans="1:62" x14ac:dyDescent="0.35">
      <c r="A139" t="s">
        <v>362</v>
      </c>
      <c r="B139" t="s">
        <v>890</v>
      </c>
      <c r="C139" t="s">
        <v>319</v>
      </c>
      <c r="D139" t="s">
        <v>891</v>
      </c>
      <c r="E139" t="s">
        <v>363</v>
      </c>
      <c r="F139" t="s">
        <v>892</v>
      </c>
      <c r="G139" t="s">
        <v>57</v>
      </c>
      <c r="H139" t="s">
        <v>23</v>
      </c>
      <c r="I139" t="s">
        <v>364</v>
      </c>
      <c r="J139">
        <v>3.1</v>
      </c>
      <c r="L139">
        <v>20</v>
      </c>
      <c r="M139">
        <v>1.8</v>
      </c>
      <c r="N139">
        <v>3.75</v>
      </c>
      <c r="P139">
        <v>0</v>
      </c>
      <c r="Q139">
        <v>0</v>
      </c>
      <c r="R139">
        <v>5.3</v>
      </c>
      <c r="S139">
        <v>7.1</v>
      </c>
      <c r="T139">
        <v>0</v>
      </c>
      <c r="U139">
        <v>8</v>
      </c>
      <c r="V139">
        <v>7</v>
      </c>
      <c r="W139">
        <v>8.3000000000000007</v>
      </c>
      <c r="X139">
        <v>4</v>
      </c>
      <c r="Y139">
        <v>8</v>
      </c>
      <c r="AA139">
        <v>6.2</v>
      </c>
      <c r="AB139">
        <v>7.6</v>
      </c>
      <c r="AC139" t="s">
        <v>26</v>
      </c>
      <c r="AD139">
        <v>0</v>
      </c>
      <c r="AE139">
        <v>0</v>
      </c>
      <c r="AF139">
        <v>8.8000000000000007</v>
      </c>
      <c r="AG139">
        <v>5.5</v>
      </c>
      <c r="AH139">
        <v>7.5</v>
      </c>
      <c r="AI139">
        <v>4.0999999999999996</v>
      </c>
      <c r="AJ139">
        <v>6.7</v>
      </c>
      <c r="AL139">
        <v>3.3</v>
      </c>
      <c r="AM139">
        <v>6.7</v>
      </c>
      <c r="AN139">
        <v>4</v>
      </c>
      <c r="AO139">
        <v>7</v>
      </c>
      <c r="AP139">
        <v>5</v>
      </c>
      <c r="AQ139">
        <v>6</v>
      </c>
      <c r="AR139" t="s">
        <v>26</v>
      </c>
      <c r="AS139">
        <v>8.5</v>
      </c>
      <c r="AU139" t="s">
        <v>26</v>
      </c>
      <c r="AV139">
        <v>10</v>
      </c>
      <c r="AW139" t="s">
        <v>26</v>
      </c>
      <c r="AX139">
        <v>10</v>
      </c>
      <c r="AY139" t="s">
        <v>26</v>
      </c>
      <c r="AZ139">
        <v>10</v>
      </c>
      <c r="BA139" t="s">
        <v>26</v>
      </c>
      <c r="BB139">
        <v>10</v>
      </c>
      <c r="BC139" t="s">
        <v>26</v>
      </c>
      <c r="BD139">
        <v>10</v>
      </c>
      <c r="BE139" t="s">
        <v>26</v>
      </c>
      <c r="BF139">
        <v>10</v>
      </c>
      <c r="BG139" t="s">
        <v>26</v>
      </c>
      <c r="BH139">
        <v>10</v>
      </c>
      <c r="BI139" t="s">
        <v>26</v>
      </c>
      <c r="BJ139">
        <v>10</v>
      </c>
    </row>
    <row r="140" spans="1:62" x14ac:dyDescent="0.35">
      <c r="A140" t="s">
        <v>127</v>
      </c>
      <c r="B140" t="s">
        <v>127</v>
      </c>
      <c r="C140" t="s">
        <v>110</v>
      </c>
      <c r="D140" t="s">
        <v>893</v>
      </c>
      <c r="E140" t="s">
        <v>894</v>
      </c>
      <c r="F140" t="s">
        <v>895</v>
      </c>
      <c r="G140" t="s">
        <v>39</v>
      </c>
      <c r="H140" t="s">
        <v>23</v>
      </c>
      <c r="I140" t="s">
        <v>42</v>
      </c>
      <c r="J140">
        <v>7.9</v>
      </c>
      <c r="K140" t="s">
        <v>622</v>
      </c>
      <c r="L140">
        <v>2</v>
      </c>
      <c r="M140">
        <v>8.5</v>
      </c>
      <c r="N140">
        <v>4</v>
      </c>
      <c r="O140" t="s">
        <v>622</v>
      </c>
      <c r="P140">
        <v>8.1</v>
      </c>
      <c r="Q140">
        <v>2.9</v>
      </c>
      <c r="R140">
        <v>8.4</v>
      </c>
      <c r="S140">
        <v>5.8</v>
      </c>
      <c r="T140">
        <v>9.5</v>
      </c>
      <c r="U140">
        <v>7.5</v>
      </c>
      <c r="V140">
        <v>9.5</v>
      </c>
      <c r="W140">
        <v>9.3000000000000007</v>
      </c>
      <c r="X140">
        <v>8.5</v>
      </c>
      <c r="Y140">
        <v>8.4</v>
      </c>
      <c r="Z140" t="s">
        <v>608</v>
      </c>
      <c r="AA140">
        <v>6.5</v>
      </c>
      <c r="AB140">
        <v>8.5</v>
      </c>
      <c r="AC140">
        <v>9.6999999999999993</v>
      </c>
      <c r="AD140">
        <v>7.9</v>
      </c>
      <c r="AE140">
        <v>10</v>
      </c>
      <c r="AF140">
        <v>8.8000000000000007</v>
      </c>
      <c r="AG140">
        <v>8</v>
      </c>
      <c r="AH140">
        <v>8.6999999999999993</v>
      </c>
      <c r="AI140">
        <v>5.3</v>
      </c>
      <c r="AJ140">
        <v>6.6</v>
      </c>
      <c r="AK140" t="s">
        <v>605</v>
      </c>
      <c r="AL140">
        <v>4.7</v>
      </c>
      <c r="AM140">
        <v>6.7</v>
      </c>
      <c r="AN140">
        <v>5</v>
      </c>
      <c r="AO140">
        <v>6</v>
      </c>
      <c r="AP140">
        <v>6</v>
      </c>
      <c r="AQ140">
        <v>7</v>
      </c>
      <c r="AR140" t="s">
        <v>26</v>
      </c>
      <c r="AS140">
        <v>8.6999999999999993</v>
      </c>
      <c r="AU140" t="s">
        <v>26</v>
      </c>
      <c r="AV140">
        <v>9.6</v>
      </c>
      <c r="AW140" t="s">
        <v>26</v>
      </c>
      <c r="AX140">
        <v>10</v>
      </c>
      <c r="AY140" t="s">
        <v>26</v>
      </c>
      <c r="AZ140">
        <v>10</v>
      </c>
      <c r="BA140" t="s">
        <v>26</v>
      </c>
      <c r="BB140">
        <v>10</v>
      </c>
      <c r="BC140" t="s">
        <v>26</v>
      </c>
      <c r="BD140">
        <v>10</v>
      </c>
      <c r="BE140" t="s">
        <v>26</v>
      </c>
      <c r="BF140">
        <v>10</v>
      </c>
      <c r="BG140" t="s">
        <v>26</v>
      </c>
      <c r="BH140">
        <v>10</v>
      </c>
      <c r="BI140" t="s">
        <v>26</v>
      </c>
      <c r="BJ140">
        <v>9.6</v>
      </c>
    </row>
    <row r="141" spans="1:62" x14ac:dyDescent="0.35">
      <c r="A141" t="s">
        <v>398</v>
      </c>
      <c r="B141" t="s">
        <v>398</v>
      </c>
      <c r="C141" t="s">
        <v>366</v>
      </c>
      <c r="D141" t="s">
        <v>896</v>
      </c>
      <c r="E141" t="s">
        <v>897</v>
      </c>
      <c r="F141" t="s">
        <v>898</v>
      </c>
      <c r="G141" t="s">
        <v>24</v>
      </c>
      <c r="H141" t="s">
        <v>400</v>
      </c>
      <c r="I141" t="s">
        <v>275</v>
      </c>
      <c r="J141">
        <v>9</v>
      </c>
      <c r="K141" t="s">
        <v>622</v>
      </c>
      <c r="L141">
        <v>2</v>
      </c>
      <c r="M141">
        <v>8.5</v>
      </c>
      <c r="N141">
        <v>3.35</v>
      </c>
      <c r="O141" t="s">
        <v>622</v>
      </c>
      <c r="P141">
        <v>10</v>
      </c>
      <c r="Q141">
        <v>0</v>
      </c>
      <c r="R141">
        <v>8.1999999999999993</v>
      </c>
      <c r="S141">
        <v>7.1</v>
      </c>
      <c r="T141">
        <v>8.8000000000000007</v>
      </c>
      <c r="U141">
        <v>7.1</v>
      </c>
      <c r="V141">
        <v>0</v>
      </c>
      <c r="W141">
        <v>8.9</v>
      </c>
      <c r="X141">
        <v>10</v>
      </c>
      <c r="Y141">
        <v>8.6</v>
      </c>
      <c r="Z141" t="s">
        <v>602</v>
      </c>
      <c r="AA141">
        <v>10</v>
      </c>
      <c r="AB141">
        <v>8.6</v>
      </c>
      <c r="AC141" t="s">
        <v>26</v>
      </c>
      <c r="AD141">
        <v>0</v>
      </c>
      <c r="AE141">
        <v>10</v>
      </c>
      <c r="AF141">
        <v>8.9</v>
      </c>
      <c r="AG141">
        <v>10</v>
      </c>
      <c r="AH141">
        <v>8.6999999999999993</v>
      </c>
      <c r="AI141">
        <v>7.9</v>
      </c>
      <c r="AJ141">
        <v>6.4</v>
      </c>
      <c r="AK141" t="s">
        <v>622</v>
      </c>
      <c r="AL141" t="s">
        <v>26</v>
      </c>
      <c r="AM141">
        <v>5.3</v>
      </c>
      <c r="AN141" t="s">
        <v>26</v>
      </c>
      <c r="AO141">
        <v>7</v>
      </c>
      <c r="AP141">
        <v>10</v>
      </c>
      <c r="AQ141">
        <v>7.5</v>
      </c>
      <c r="AR141">
        <v>8.5</v>
      </c>
      <c r="AS141">
        <v>8.3000000000000007</v>
      </c>
      <c r="AT141" t="s">
        <v>608</v>
      </c>
      <c r="AU141">
        <v>10</v>
      </c>
      <c r="AV141">
        <v>10</v>
      </c>
      <c r="AW141">
        <v>10</v>
      </c>
      <c r="AX141">
        <v>10</v>
      </c>
      <c r="AY141">
        <v>10</v>
      </c>
      <c r="AZ141">
        <v>10</v>
      </c>
      <c r="BA141">
        <v>10</v>
      </c>
      <c r="BB141">
        <v>10</v>
      </c>
      <c r="BC141">
        <v>10</v>
      </c>
      <c r="BD141">
        <v>10</v>
      </c>
      <c r="BE141">
        <v>10</v>
      </c>
      <c r="BF141">
        <v>10</v>
      </c>
      <c r="BG141">
        <v>10</v>
      </c>
      <c r="BH141">
        <v>10</v>
      </c>
      <c r="BI141">
        <v>10</v>
      </c>
      <c r="BJ141">
        <v>10</v>
      </c>
    </row>
    <row r="142" spans="1:62" x14ac:dyDescent="0.35">
      <c r="A142" t="s">
        <v>307</v>
      </c>
      <c r="B142" t="s">
        <v>307</v>
      </c>
      <c r="C142" t="s">
        <v>223</v>
      </c>
      <c r="D142" t="s">
        <v>899</v>
      </c>
      <c r="E142" t="s">
        <v>308</v>
      </c>
      <c r="F142" t="s">
        <v>900</v>
      </c>
      <c r="G142" t="s">
        <v>24</v>
      </c>
      <c r="H142" t="s">
        <v>23</v>
      </c>
      <c r="I142" t="s">
        <v>42</v>
      </c>
      <c r="J142">
        <v>7</v>
      </c>
      <c r="L142">
        <v>19</v>
      </c>
      <c r="M142">
        <v>5.4</v>
      </c>
      <c r="N142">
        <v>5.6</v>
      </c>
      <c r="P142">
        <v>3</v>
      </c>
      <c r="Q142">
        <v>4.0999999999999996</v>
      </c>
      <c r="R142">
        <v>9.1999999999999993</v>
      </c>
      <c r="S142">
        <v>7.5</v>
      </c>
      <c r="T142">
        <v>7.1</v>
      </c>
      <c r="U142">
        <v>5.9</v>
      </c>
      <c r="V142">
        <v>8.9</v>
      </c>
      <c r="W142">
        <v>8.3000000000000007</v>
      </c>
      <c r="X142">
        <v>9.3000000000000007</v>
      </c>
      <c r="Y142">
        <v>8.4</v>
      </c>
      <c r="Z142" t="s">
        <v>608</v>
      </c>
      <c r="AA142">
        <v>8.6</v>
      </c>
      <c r="AB142">
        <v>7.4</v>
      </c>
      <c r="AC142" t="s">
        <v>26</v>
      </c>
      <c r="AD142">
        <v>0</v>
      </c>
      <c r="AE142">
        <v>9.8000000000000007</v>
      </c>
      <c r="AF142">
        <v>9.5</v>
      </c>
      <c r="AG142">
        <v>9.5</v>
      </c>
      <c r="AH142">
        <v>8.5</v>
      </c>
      <c r="AI142">
        <v>5.5</v>
      </c>
      <c r="AJ142">
        <v>6.7</v>
      </c>
      <c r="AL142">
        <v>4.7</v>
      </c>
      <c r="AM142">
        <v>6.7</v>
      </c>
      <c r="AN142">
        <v>6</v>
      </c>
      <c r="AO142">
        <v>7</v>
      </c>
      <c r="AP142">
        <v>6</v>
      </c>
      <c r="AQ142">
        <v>7.5</v>
      </c>
      <c r="AR142">
        <v>9.8000000000000007</v>
      </c>
      <c r="AS142">
        <v>8.5</v>
      </c>
      <c r="AT142" t="s">
        <v>662</v>
      </c>
      <c r="AU142">
        <v>10</v>
      </c>
      <c r="AV142">
        <v>10</v>
      </c>
      <c r="AW142">
        <v>9.4</v>
      </c>
      <c r="AX142">
        <v>10</v>
      </c>
      <c r="AY142">
        <v>10</v>
      </c>
      <c r="AZ142">
        <v>10</v>
      </c>
      <c r="BA142">
        <v>9.4</v>
      </c>
      <c r="BB142">
        <v>10</v>
      </c>
      <c r="BC142">
        <v>9.4</v>
      </c>
      <c r="BD142">
        <v>10</v>
      </c>
      <c r="BE142">
        <v>9.4</v>
      </c>
      <c r="BF142">
        <v>10</v>
      </c>
      <c r="BG142">
        <v>10</v>
      </c>
      <c r="BH142">
        <v>10</v>
      </c>
      <c r="BI142">
        <v>10</v>
      </c>
      <c r="BJ142">
        <v>10</v>
      </c>
    </row>
    <row r="143" spans="1:62" x14ac:dyDescent="0.35">
      <c r="A143" t="s">
        <v>203</v>
      </c>
      <c r="B143" t="s">
        <v>203</v>
      </c>
      <c r="C143" t="s">
        <v>135</v>
      </c>
      <c r="D143" t="s">
        <v>901</v>
      </c>
      <c r="E143" t="s">
        <v>204</v>
      </c>
      <c r="F143" t="s">
        <v>902</v>
      </c>
      <c r="G143" t="s">
        <v>39</v>
      </c>
      <c r="H143" t="s">
        <v>60</v>
      </c>
      <c r="I143" t="s">
        <v>73</v>
      </c>
      <c r="J143">
        <v>6.9</v>
      </c>
      <c r="L143">
        <v>16</v>
      </c>
      <c r="M143">
        <v>4.9000000000000004</v>
      </c>
      <c r="N143">
        <v>4.9000000000000004</v>
      </c>
      <c r="P143">
        <v>3.7</v>
      </c>
      <c r="Q143">
        <v>3.2</v>
      </c>
      <c r="R143">
        <v>9.4</v>
      </c>
      <c r="S143">
        <v>6</v>
      </c>
      <c r="T143">
        <v>6.2</v>
      </c>
      <c r="U143">
        <v>6.8</v>
      </c>
      <c r="V143">
        <v>0</v>
      </c>
      <c r="W143">
        <v>8.5</v>
      </c>
      <c r="X143">
        <v>9.1</v>
      </c>
      <c r="Y143">
        <v>8.1999999999999993</v>
      </c>
      <c r="Z143" t="s">
        <v>608</v>
      </c>
      <c r="AA143">
        <v>10</v>
      </c>
      <c r="AB143">
        <v>7.3</v>
      </c>
      <c r="AC143">
        <v>9.6</v>
      </c>
      <c r="AD143">
        <v>8.6</v>
      </c>
      <c r="AE143">
        <v>7.6</v>
      </c>
      <c r="AF143">
        <v>9.4</v>
      </c>
      <c r="AG143">
        <v>8.8000000000000007</v>
      </c>
      <c r="AH143">
        <v>8.1999999999999993</v>
      </c>
      <c r="AI143">
        <v>6.6</v>
      </c>
      <c r="AJ143">
        <v>7.1</v>
      </c>
      <c r="AL143">
        <v>6</v>
      </c>
      <c r="AM143">
        <v>7.3</v>
      </c>
      <c r="AN143" t="s">
        <v>26</v>
      </c>
      <c r="AO143">
        <v>7</v>
      </c>
      <c r="AP143" t="s">
        <v>26</v>
      </c>
      <c r="AQ143">
        <v>8</v>
      </c>
      <c r="AR143">
        <v>9.5</v>
      </c>
      <c r="AS143">
        <v>8.5</v>
      </c>
      <c r="AT143" t="s">
        <v>662</v>
      </c>
      <c r="AU143">
        <v>10</v>
      </c>
      <c r="AV143">
        <v>10</v>
      </c>
      <c r="AW143">
        <v>10</v>
      </c>
      <c r="AX143">
        <v>10</v>
      </c>
      <c r="AY143">
        <v>10</v>
      </c>
      <c r="AZ143">
        <v>10</v>
      </c>
      <c r="BA143">
        <v>10</v>
      </c>
      <c r="BB143">
        <v>10</v>
      </c>
      <c r="BC143">
        <v>10</v>
      </c>
      <c r="BD143">
        <v>10</v>
      </c>
      <c r="BE143">
        <v>10</v>
      </c>
      <c r="BF143">
        <v>10</v>
      </c>
      <c r="BG143">
        <v>10</v>
      </c>
      <c r="BH143">
        <v>10</v>
      </c>
      <c r="BI143">
        <v>10</v>
      </c>
      <c r="BJ143">
        <v>10</v>
      </c>
    </row>
    <row r="144" spans="1:62" x14ac:dyDescent="0.35">
      <c r="A144" t="s">
        <v>205</v>
      </c>
      <c r="B144" t="s">
        <v>205</v>
      </c>
      <c r="C144" t="s">
        <v>110</v>
      </c>
      <c r="D144" t="s">
        <v>903</v>
      </c>
      <c r="E144" t="s">
        <v>206</v>
      </c>
      <c r="F144" t="s">
        <v>904</v>
      </c>
      <c r="G144" t="s">
        <v>39</v>
      </c>
      <c r="H144" t="s">
        <v>23</v>
      </c>
      <c r="I144" t="s">
        <v>36</v>
      </c>
      <c r="J144">
        <v>5.6</v>
      </c>
      <c r="L144">
        <v>8</v>
      </c>
      <c r="M144">
        <v>3</v>
      </c>
      <c r="N144">
        <v>4</v>
      </c>
      <c r="P144">
        <v>0</v>
      </c>
      <c r="Q144">
        <v>2.9</v>
      </c>
      <c r="R144">
        <v>5.3</v>
      </c>
      <c r="S144">
        <v>5.8</v>
      </c>
      <c r="T144">
        <v>6.8</v>
      </c>
      <c r="U144">
        <v>7.5</v>
      </c>
      <c r="V144">
        <v>8.6999999999999993</v>
      </c>
      <c r="W144">
        <v>9.3000000000000007</v>
      </c>
      <c r="X144">
        <v>7.6</v>
      </c>
      <c r="Y144">
        <v>8.4</v>
      </c>
      <c r="AA144">
        <v>7.6</v>
      </c>
      <c r="AB144">
        <v>8.5</v>
      </c>
      <c r="AC144">
        <v>7.2</v>
      </c>
      <c r="AD144">
        <v>7.9</v>
      </c>
      <c r="AE144">
        <v>9.1999999999999993</v>
      </c>
      <c r="AF144">
        <v>8.8000000000000007</v>
      </c>
      <c r="AG144">
        <v>7.2</v>
      </c>
      <c r="AH144">
        <v>8.6999999999999993</v>
      </c>
      <c r="AI144">
        <v>6.7</v>
      </c>
      <c r="AJ144">
        <v>6.6</v>
      </c>
      <c r="AL144">
        <v>6.7</v>
      </c>
      <c r="AM144">
        <v>6.7</v>
      </c>
      <c r="AN144">
        <v>8</v>
      </c>
      <c r="AO144">
        <v>6</v>
      </c>
      <c r="AP144">
        <v>6</v>
      </c>
      <c r="AQ144">
        <v>7</v>
      </c>
      <c r="AR144" t="s">
        <v>26</v>
      </c>
      <c r="AS144">
        <v>8.6999999999999993</v>
      </c>
      <c r="AU144" t="s">
        <v>26</v>
      </c>
      <c r="AV144">
        <v>9.6</v>
      </c>
      <c r="AW144" t="s">
        <v>26</v>
      </c>
      <c r="AX144">
        <v>10</v>
      </c>
      <c r="AY144" t="s">
        <v>26</v>
      </c>
      <c r="AZ144">
        <v>10</v>
      </c>
      <c r="BA144" t="s">
        <v>26</v>
      </c>
      <c r="BB144">
        <v>10</v>
      </c>
      <c r="BC144" t="s">
        <v>26</v>
      </c>
      <c r="BD144">
        <v>10</v>
      </c>
      <c r="BE144" t="s">
        <v>26</v>
      </c>
      <c r="BF144">
        <v>10</v>
      </c>
      <c r="BG144" t="s">
        <v>26</v>
      </c>
      <c r="BH144">
        <v>10</v>
      </c>
      <c r="BI144" t="s">
        <v>26</v>
      </c>
      <c r="BJ144">
        <v>10</v>
      </c>
    </row>
    <row r="145" spans="1:62" x14ac:dyDescent="0.35">
      <c r="A145" t="s">
        <v>207</v>
      </c>
      <c r="B145" t="s">
        <v>207</v>
      </c>
      <c r="C145" t="s">
        <v>135</v>
      </c>
      <c r="D145" t="s">
        <v>905</v>
      </c>
      <c r="E145" t="s">
        <v>208</v>
      </c>
      <c r="F145" t="s">
        <v>906</v>
      </c>
      <c r="G145" t="s">
        <v>57</v>
      </c>
      <c r="H145" t="s">
        <v>209</v>
      </c>
      <c r="I145" t="s">
        <v>33</v>
      </c>
      <c r="J145">
        <v>7.8</v>
      </c>
      <c r="K145" t="s">
        <v>605</v>
      </c>
      <c r="L145">
        <v>9</v>
      </c>
      <c r="M145">
        <v>7.7</v>
      </c>
      <c r="N145">
        <v>4.9000000000000004</v>
      </c>
      <c r="O145" t="s">
        <v>605</v>
      </c>
      <c r="P145">
        <v>7.7</v>
      </c>
      <c r="Q145">
        <v>3.2</v>
      </c>
      <c r="R145">
        <v>7.2</v>
      </c>
      <c r="S145">
        <v>6</v>
      </c>
      <c r="T145">
        <v>7.6</v>
      </c>
      <c r="U145">
        <v>6.8</v>
      </c>
      <c r="V145">
        <v>8.8000000000000007</v>
      </c>
      <c r="W145">
        <v>8.5</v>
      </c>
      <c r="X145">
        <v>8.4</v>
      </c>
      <c r="Y145">
        <v>8.1999999999999993</v>
      </c>
      <c r="AA145">
        <v>8.3000000000000007</v>
      </c>
      <c r="AB145">
        <v>7.3</v>
      </c>
      <c r="AC145">
        <v>8.6999999999999993</v>
      </c>
      <c r="AD145">
        <v>8.6</v>
      </c>
      <c r="AE145">
        <v>8.1999999999999993</v>
      </c>
      <c r="AF145">
        <v>9.4</v>
      </c>
      <c r="AG145">
        <v>8.1999999999999993</v>
      </c>
      <c r="AH145">
        <v>8.1999999999999993</v>
      </c>
      <c r="AI145">
        <v>6.9</v>
      </c>
      <c r="AJ145">
        <v>7.1</v>
      </c>
      <c r="AL145">
        <v>7.3</v>
      </c>
      <c r="AM145">
        <v>7.3</v>
      </c>
      <c r="AN145">
        <v>6</v>
      </c>
      <c r="AO145">
        <v>7</v>
      </c>
      <c r="AP145">
        <v>7</v>
      </c>
      <c r="AQ145">
        <v>8</v>
      </c>
      <c r="AR145">
        <v>7.9</v>
      </c>
      <c r="AS145">
        <v>8.5</v>
      </c>
      <c r="AU145">
        <v>10</v>
      </c>
      <c r="AV145">
        <v>10</v>
      </c>
      <c r="AW145">
        <v>10</v>
      </c>
      <c r="AX145">
        <v>10</v>
      </c>
      <c r="AY145">
        <v>10</v>
      </c>
      <c r="AZ145">
        <v>10</v>
      </c>
      <c r="BA145">
        <v>10</v>
      </c>
      <c r="BB145">
        <v>10</v>
      </c>
      <c r="BC145">
        <v>10</v>
      </c>
      <c r="BD145">
        <v>10</v>
      </c>
      <c r="BE145">
        <v>8</v>
      </c>
      <c r="BF145">
        <v>10</v>
      </c>
      <c r="BG145">
        <v>8</v>
      </c>
      <c r="BH145">
        <v>10</v>
      </c>
      <c r="BI145">
        <v>8</v>
      </c>
      <c r="BJ145">
        <v>10</v>
      </c>
    </row>
    <row r="146" spans="1:62" x14ac:dyDescent="0.35">
      <c r="A146" t="s">
        <v>100</v>
      </c>
      <c r="B146" t="s">
        <v>100</v>
      </c>
      <c r="C146" t="s">
        <v>21</v>
      </c>
      <c r="D146" t="s">
        <v>907</v>
      </c>
      <c r="E146" t="s">
        <v>101</v>
      </c>
      <c r="F146" t="s">
        <v>908</v>
      </c>
      <c r="G146" t="s">
        <v>24</v>
      </c>
      <c r="H146" t="s">
        <v>60</v>
      </c>
      <c r="I146" t="s">
        <v>73</v>
      </c>
      <c r="J146">
        <v>8.1999999999999993</v>
      </c>
      <c r="K146" t="s">
        <v>622</v>
      </c>
      <c r="L146">
        <v>2</v>
      </c>
      <c r="M146">
        <v>8.1999999999999993</v>
      </c>
      <c r="N146">
        <v>3.6</v>
      </c>
      <c r="O146" t="s">
        <v>608</v>
      </c>
      <c r="P146">
        <v>10</v>
      </c>
      <c r="Q146">
        <v>1</v>
      </c>
      <c r="R146">
        <v>8.5</v>
      </c>
      <c r="S146">
        <v>7.1</v>
      </c>
      <c r="T146">
        <v>0</v>
      </c>
      <c r="U146">
        <v>6.3</v>
      </c>
      <c r="V146">
        <v>9.6</v>
      </c>
      <c r="W146">
        <v>8.9</v>
      </c>
      <c r="X146">
        <v>8.6</v>
      </c>
      <c r="Y146">
        <v>7.8</v>
      </c>
      <c r="Z146" t="s">
        <v>605</v>
      </c>
      <c r="AA146">
        <v>9</v>
      </c>
      <c r="AB146">
        <v>7.6</v>
      </c>
      <c r="AC146">
        <v>8.1999999999999993</v>
      </c>
      <c r="AD146">
        <v>7.5</v>
      </c>
      <c r="AE146">
        <v>6.5</v>
      </c>
      <c r="AF146">
        <v>7.4</v>
      </c>
      <c r="AG146">
        <v>9.4</v>
      </c>
      <c r="AH146">
        <v>8.6999999999999993</v>
      </c>
      <c r="AI146">
        <v>7.7</v>
      </c>
      <c r="AJ146">
        <v>7.1</v>
      </c>
      <c r="AK146" t="s">
        <v>608</v>
      </c>
      <c r="AL146">
        <v>7.3</v>
      </c>
      <c r="AM146">
        <v>6.7</v>
      </c>
      <c r="AN146">
        <v>8</v>
      </c>
      <c r="AO146">
        <v>6</v>
      </c>
      <c r="AP146">
        <v>8</v>
      </c>
      <c r="AQ146">
        <v>7.5</v>
      </c>
      <c r="AR146">
        <v>8.1</v>
      </c>
      <c r="AS146">
        <v>8.3000000000000007</v>
      </c>
      <c r="AU146">
        <v>10</v>
      </c>
      <c r="AV146">
        <v>10</v>
      </c>
      <c r="AW146">
        <v>10</v>
      </c>
      <c r="AX146">
        <v>10</v>
      </c>
      <c r="AY146">
        <v>10</v>
      </c>
      <c r="AZ146">
        <v>10</v>
      </c>
      <c r="BA146">
        <v>8</v>
      </c>
      <c r="BB146">
        <v>10</v>
      </c>
      <c r="BC146">
        <v>10</v>
      </c>
      <c r="BD146">
        <v>10</v>
      </c>
      <c r="BE146">
        <v>10</v>
      </c>
      <c r="BF146">
        <v>10</v>
      </c>
      <c r="BG146">
        <v>8</v>
      </c>
      <c r="BH146">
        <v>10</v>
      </c>
      <c r="BI146">
        <v>10</v>
      </c>
      <c r="BJ146">
        <v>10</v>
      </c>
    </row>
    <row r="147" spans="1:62" x14ac:dyDescent="0.35">
      <c r="A147" t="s">
        <v>210</v>
      </c>
      <c r="B147" t="s">
        <v>210</v>
      </c>
      <c r="C147" t="s">
        <v>135</v>
      </c>
      <c r="D147" t="s">
        <v>909</v>
      </c>
      <c r="E147" t="s">
        <v>211</v>
      </c>
      <c r="F147" t="s">
        <v>910</v>
      </c>
      <c r="G147" t="s">
        <v>57</v>
      </c>
      <c r="H147" t="s">
        <v>23</v>
      </c>
      <c r="I147" t="s">
        <v>33</v>
      </c>
      <c r="J147">
        <v>5.0999999999999996</v>
      </c>
      <c r="L147">
        <v>37</v>
      </c>
      <c r="M147">
        <v>1.7</v>
      </c>
      <c r="N147">
        <v>4.9000000000000004</v>
      </c>
      <c r="P147">
        <v>0</v>
      </c>
      <c r="Q147">
        <v>3.2</v>
      </c>
      <c r="R147">
        <v>0</v>
      </c>
      <c r="S147">
        <v>6</v>
      </c>
      <c r="T147">
        <v>6</v>
      </c>
      <c r="U147">
        <v>6.8</v>
      </c>
      <c r="V147">
        <v>8.1</v>
      </c>
      <c r="W147">
        <v>8.5</v>
      </c>
      <c r="X147">
        <v>7.6</v>
      </c>
      <c r="Y147">
        <v>8.1999999999999993</v>
      </c>
      <c r="AA147">
        <v>7.3</v>
      </c>
      <c r="AB147">
        <v>7.3</v>
      </c>
      <c r="AC147">
        <v>8</v>
      </c>
      <c r="AD147">
        <v>8.6</v>
      </c>
      <c r="AE147">
        <v>5.7</v>
      </c>
      <c r="AF147">
        <v>9.4</v>
      </c>
      <c r="AG147">
        <v>8.1999999999999993</v>
      </c>
      <c r="AH147">
        <v>8.1999999999999993</v>
      </c>
      <c r="AI147">
        <v>7.1</v>
      </c>
      <c r="AJ147">
        <v>7.1</v>
      </c>
      <c r="AL147">
        <v>6.7</v>
      </c>
      <c r="AM147">
        <v>7.3</v>
      </c>
      <c r="AN147">
        <v>6</v>
      </c>
      <c r="AO147">
        <v>7</v>
      </c>
      <c r="AP147">
        <v>8</v>
      </c>
      <c r="AQ147">
        <v>8</v>
      </c>
      <c r="AR147">
        <v>8.5</v>
      </c>
      <c r="AS147">
        <v>8.5</v>
      </c>
      <c r="AU147">
        <v>10</v>
      </c>
      <c r="AV147">
        <v>10</v>
      </c>
      <c r="AW147">
        <v>10</v>
      </c>
      <c r="AX147">
        <v>10</v>
      </c>
      <c r="AY147">
        <v>10</v>
      </c>
      <c r="AZ147">
        <v>10</v>
      </c>
      <c r="BA147">
        <v>10</v>
      </c>
      <c r="BB147">
        <v>10</v>
      </c>
      <c r="BC147">
        <v>10</v>
      </c>
      <c r="BD147">
        <v>10</v>
      </c>
      <c r="BE147">
        <v>10</v>
      </c>
      <c r="BF147">
        <v>10</v>
      </c>
      <c r="BG147">
        <v>10</v>
      </c>
      <c r="BH147">
        <v>10</v>
      </c>
      <c r="BI147">
        <v>10</v>
      </c>
      <c r="BJ147">
        <v>10</v>
      </c>
    </row>
    <row r="148" spans="1:62" x14ac:dyDescent="0.35">
      <c r="A148" t="s">
        <v>212</v>
      </c>
      <c r="B148" t="s">
        <v>212</v>
      </c>
      <c r="C148" t="s">
        <v>135</v>
      </c>
      <c r="D148" t="s">
        <v>911</v>
      </c>
      <c r="E148" t="s">
        <v>213</v>
      </c>
      <c r="F148" t="s">
        <v>912</v>
      </c>
      <c r="G148" t="s">
        <v>24</v>
      </c>
      <c r="H148" t="s">
        <v>214</v>
      </c>
      <c r="I148" t="s">
        <v>48</v>
      </c>
      <c r="J148">
        <v>7.4</v>
      </c>
      <c r="L148">
        <v>13</v>
      </c>
      <c r="M148">
        <v>7.1</v>
      </c>
      <c r="N148">
        <v>4.9000000000000004</v>
      </c>
      <c r="O148" t="s">
        <v>605</v>
      </c>
      <c r="P148">
        <v>6.7</v>
      </c>
      <c r="Q148">
        <v>3.2</v>
      </c>
      <c r="R148">
        <v>7.6</v>
      </c>
      <c r="S148">
        <v>6</v>
      </c>
      <c r="T148">
        <v>6.7</v>
      </c>
      <c r="U148">
        <v>6.8</v>
      </c>
      <c r="V148">
        <v>8.4</v>
      </c>
      <c r="W148">
        <v>8.5</v>
      </c>
      <c r="X148">
        <v>8.6</v>
      </c>
      <c r="Y148">
        <v>8.1999999999999993</v>
      </c>
      <c r="AA148">
        <v>7.4</v>
      </c>
      <c r="AB148">
        <v>7.3</v>
      </c>
      <c r="AC148">
        <v>9.1999999999999993</v>
      </c>
      <c r="AD148">
        <v>8.6</v>
      </c>
      <c r="AE148">
        <v>9.9</v>
      </c>
      <c r="AF148">
        <v>9.4</v>
      </c>
      <c r="AG148">
        <v>8.1999999999999993</v>
      </c>
      <c r="AH148">
        <v>8.1999999999999993</v>
      </c>
      <c r="AI148">
        <v>5.3</v>
      </c>
      <c r="AJ148">
        <v>7.1</v>
      </c>
      <c r="AL148">
        <v>6.7</v>
      </c>
      <c r="AM148">
        <v>7.3</v>
      </c>
      <c r="AN148">
        <v>5</v>
      </c>
      <c r="AO148">
        <v>7</v>
      </c>
      <c r="AP148">
        <v>4</v>
      </c>
      <c r="AQ148">
        <v>8</v>
      </c>
      <c r="AR148">
        <v>7.9</v>
      </c>
      <c r="AS148">
        <v>8.5</v>
      </c>
      <c r="AU148">
        <v>10</v>
      </c>
      <c r="AV148">
        <v>10</v>
      </c>
      <c r="AW148">
        <v>8</v>
      </c>
      <c r="AX148">
        <v>10</v>
      </c>
      <c r="AY148">
        <v>10</v>
      </c>
      <c r="AZ148">
        <v>10</v>
      </c>
      <c r="BA148">
        <v>10</v>
      </c>
      <c r="BB148">
        <v>10</v>
      </c>
      <c r="BC148">
        <v>10</v>
      </c>
      <c r="BD148">
        <v>10</v>
      </c>
      <c r="BE148">
        <v>8</v>
      </c>
      <c r="BF148">
        <v>10</v>
      </c>
      <c r="BG148">
        <v>8</v>
      </c>
      <c r="BH148">
        <v>10</v>
      </c>
      <c r="BI148">
        <v>10</v>
      </c>
      <c r="BJ148">
        <v>10</v>
      </c>
    </row>
    <row r="149" spans="1:62" x14ac:dyDescent="0.35">
      <c r="A149" t="s">
        <v>309</v>
      </c>
      <c r="B149" t="s">
        <v>309</v>
      </c>
      <c r="C149" t="s">
        <v>223</v>
      </c>
      <c r="D149" t="s">
        <v>913</v>
      </c>
      <c r="E149" t="s">
        <v>310</v>
      </c>
      <c r="F149" t="s">
        <v>914</v>
      </c>
      <c r="G149" t="s">
        <v>24</v>
      </c>
      <c r="H149" t="s">
        <v>23</v>
      </c>
      <c r="I149" t="s">
        <v>48</v>
      </c>
      <c r="J149">
        <v>5.6</v>
      </c>
      <c r="L149">
        <v>34</v>
      </c>
      <c r="M149">
        <v>2.7</v>
      </c>
      <c r="N149">
        <v>5.6</v>
      </c>
      <c r="P149">
        <v>0</v>
      </c>
      <c r="Q149">
        <v>4.0999999999999996</v>
      </c>
      <c r="R149">
        <v>6.8</v>
      </c>
      <c r="S149">
        <v>7.5</v>
      </c>
      <c r="T149">
        <v>3.6</v>
      </c>
      <c r="U149">
        <v>5.9</v>
      </c>
      <c r="V149">
        <v>8.3000000000000007</v>
      </c>
      <c r="W149">
        <v>8.3000000000000007</v>
      </c>
      <c r="X149">
        <v>8.1</v>
      </c>
      <c r="Y149">
        <v>8.4</v>
      </c>
      <c r="AA149">
        <v>7.6</v>
      </c>
      <c r="AB149">
        <v>7.4</v>
      </c>
      <c r="AC149" t="s">
        <v>26</v>
      </c>
      <c r="AD149">
        <v>0</v>
      </c>
      <c r="AE149">
        <v>9.3000000000000007</v>
      </c>
      <c r="AF149">
        <v>9.5</v>
      </c>
      <c r="AG149">
        <v>7.5</v>
      </c>
      <c r="AH149">
        <v>8.5</v>
      </c>
      <c r="AI149">
        <v>6.4</v>
      </c>
      <c r="AJ149">
        <v>6.7</v>
      </c>
      <c r="AL149">
        <v>6</v>
      </c>
      <c r="AM149">
        <v>6.7</v>
      </c>
      <c r="AN149">
        <v>8</v>
      </c>
      <c r="AO149">
        <v>7</v>
      </c>
      <c r="AP149">
        <v>6</v>
      </c>
      <c r="AQ149">
        <v>7.5</v>
      </c>
      <c r="AR149">
        <v>8.3000000000000007</v>
      </c>
      <c r="AS149">
        <v>8.5</v>
      </c>
      <c r="AU149">
        <v>10</v>
      </c>
      <c r="AV149">
        <v>10</v>
      </c>
      <c r="AW149">
        <v>10</v>
      </c>
      <c r="AX149">
        <v>10</v>
      </c>
      <c r="AY149">
        <v>10</v>
      </c>
      <c r="AZ149">
        <v>10</v>
      </c>
      <c r="BA149">
        <v>10</v>
      </c>
      <c r="BB149">
        <v>10</v>
      </c>
      <c r="BC149">
        <v>10</v>
      </c>
      <c r="BD149">
        <v>10</v>
      </c>
      <c r="BE149">
        <v>10</v>
      </c>
      <c r="BF149">
        <v>10</v>
      </c>
      <c r="BG149">
        <v>8</v>
      </c>
      <c r="BH149">
        <v>10</v>
      </c>
      <c r="BI149">
        <v>10</v>
      </c>
      <c r="BJ149">
        <v>10</v>
      </c>
    </row>
    <row r="150" spans="1:62" x14ac:dyDescent="0.35">
      <c r="A150" t="s">
        <v>102</v>
      </c>
      <c r="B150" t="s">
        <v>915</v>
      </c>
      <c r="C150" t="s">
        <v>21</v>
      </c>
      <c r="D150" t="s">
        <v>916</v>
      </c>
      <c r="E150" t="s">
        <v>103</v>
      </c>
      <c r="F150" t="s">
        <v>917</v>
      </c>
      <c r="G150" t="s">
        <v>39</v>
      </c>
      <c r="H150" t="s">
        <v>67</v>
      </c>
      <c r="I150" t="s">
        <v>104</v>
      </c>
      <c r="J150">
        <v>7.8</v>
      </c>
      <c r="K150" t="s">
        <v>605</v>
      </c>
      <c r="L150">
        <v>6</v>
      </c>
      <c r="M150">
        <v>8.1</v>
      </c>
      <c r="N150">
        <v>3.6</v>
      </c>
      <c r="O150" t="s">
        <v>608</v>
      </c>
      <c r="P150">
        <v>7.9</v>
      </c>
      <c r="Q150">
        <v>1</v>
      </c>
      <c r="R150">
        <v>9.4</v>
      </c>
      <c r="S150">
        <v>7.1</v>
      </c>
      <c r="T150">
        <v>5.9</v>
      </c>
      <c r="U150">
        <v>6.3</v>
      </c>
      <c r="V150">
        <v>9.9</v>
      </c>
      <c r="W150">
        <v>8.9</v>
      </c>
      <c r="X150">
        <v>7.6</v>
      </c>
      <c r="Y150">
        <v>7.8</v>
      </c>
      <c r="AA150">
        <v>8.1999999999999993</v>
      </c>
      <c r="AB150">
        <v>7.6</v>
      </c>
      <c r="AC150">
        <v>8.6</v>
      </c>
      <c r="AD150">
        <v>7.5</v>
      </c>
      <c r="AE150">
        <v>0</v>
      </c>
      <c r="AF150">
        <v>7.4</v>
      </c>
      <c r="AG150">
        <v>9.4</v>
      </c>
      <c r="AH150">
        <v>8.6999999999999993</v>
      </c>
      <c r="AI150">
        <v>7.3</v>
      </c>
      <c r="AJ150">
        <v>7.1</v>
      </c>
      <c r="AL150">
        <v>7.3</v>
      </c>
      <c r="AM150">
        <v>6.7</v>
      </c>
      <c r="AN150">
        <v>8</v>
      </c>
      <c r="AO150">
        <v>6</v>
      </c>
      <c r="AP150">
        <v>7</v>
      </c>
      <c r="AQ150">
        <v>7.5</v>
      </c>
      <c r="AR150">
        <v>9.3000000000000007</v>
      </c>
      <c r="AS150">
        <v>8.3000000000000007</v>
      </c>
      <c r="AT150" t="s">
        <v>608</v>
      </c>
      <c r="AU150">
        <v>10</v>
      </c>
      <c r="AV150">
        <v>10</v>
      </c>
      <c r="AW150">
        <v>10</v>
      </c>
      <c r="AX150">
        <v>10</v>
      </c>
      <c r="AY150">
        <v>10</v>
      </c>
      <c r="AZ150">
        <v>10</v>
      </c>
      <c r="BA150">
        <v>10</v>
      </c>
      <c r="BB150">
        <v>10</v>
      </c>
      <c r="BC150">
        <v>9</v>
      </c>
      <c r="BD150">
        <v>10</v>
      </c>
      <c r="BE150">
        <v>9</v>
      </c>
      <c r="BF150">
        <v>10</v>
      </c>
      <c r="BG150">
        <v>10</v>
      </c>
      <c r="BH150">
        <v>10</v>
      </c>
      <c r="BI150">
        <v>10</v>
      </c>
      <c r="BJ150">
        <v>10</v>
      </c>
    </row>
    <row r="151" spans="1:62" x14ac:dyDescent="0.35">
      <c r="A151" t="s">
        <v>114</v>
      </c>
      <c r="B151" t="s">
        <v>918</v>
      </c>
      <c r="C151" t="s">
        <v>110</v>
      </c>
      <c r="D151" t="s">
        <v>919</v>
      </c>
      <c r="E151" t="s">
        <v>115</v>
      </c>
      <c r="F151" t="s">
        <v>920</v>
      </c>
      <c r="G151" t="s">
        <v>39</v>
      </c>
      <c r="H151" t="s">
        <v>63</v>
      </c>
      <c r="I151" t="s">
        <v>921</v>
      </c>
      <c r="J151">
        <v>5.9</v>
      </c>
      <c r="L151">
        <v>7</v>
      </c>
      <c r="M151">
        <v>3.9</v>
      </c>
      <c r="N151">
        <v>4</v>
      </c>
      <c r="P151">
        <v>0</v>
      </c>
      <c r="Q151">
        <v>2.9</v>
      </c>
      <c r="R151">
        <v>10</v>
      </c>
      <c r="S151">
        <v>5.8</v>
      </c>
      <c r="T151">
        <v>6.7</v>
      </c>
      <c r="U151">
        <v>7.5</v>
      </c>
      <c r="V151">
        <v>9.1999999999999993</v>
      </c>
      <c r="W151">
        <v>9.3000000000000007</v>
      </c>
      <c r="X151">
        <v>8.6999999999999993</v>
      </c>
      <c r="Y151">
        <v>8.4</v>
      </c>
      <c r="Z151" t="s">
        <v>662</v>
      </c>
      <c r="AA151">
        <v>8.6</v>
      </c>
      <c r="AB151">
        <v>8.5</v>
      </c>
      <c r="AC151">
        <v>8.6999999999999993</v>
      </c>
      <c r="AD151">
        <v>7.9</v>
      </c>
      <c r="AE151">
        <v>7.4</v>
      </c>
      <c r="AF151">
        <v>8.8000000000000007</v>
      </c>
      <c r="AG151">
        <v>9.1999999999999993</v>
      </c>
      <c r="AH151">
        <v>8.6999999999999993</v>
      </c>
      <c r="AI151">
        <v>4.5</v>
      </c>
      <c r="AJ151">
        <v>6.6</v>
      </c>
      <c r="AK151" t="s">
        <v>605</v>
      </c>
      <c r="AL151">
        <v>2.7</v>
      </c>
      <c r="AM151">
        <v>6.7</v>
      </c>
      <c r="AN151">
        <v>5</v>
      </c>
      <c r="AO151">
        <v>6</v>
      </c>
      <c r="AP151">
        <v>6</v>
      </c>
      <c r="AQ151">
        <v>7</v>
      </c>
      <c r="AR151" t="s">
        <v>26</v>
      </c>
      <c r="AS151">
        <v>8.6999999999999993</v>
      </c>
      <c r="AU151" t="s">
        <v>26</v>
      </c>
      <c r="AV151">
        <v>9.6</v>
      </c>
      <c r="AW151" t="s">
        <v>26</v>
      </c>
      <c r="AX151">
        <v>10</v>
      </c>
      <c r="AY151" t="s">
        <v>26</v>
      </c>
      <c r="AZ151">
        <v>10</v>
      </c>
      <c r="BA151" t="s">
        <v>26</v>
      </c>
      <c r="BB151">
        <v>10</v>
      </c>
      <c r="BC151" t="s">
        <v>26</v>
      </c>
      <c r="BD151">
        <v>10</v>
      </c>
      <c r="BE151" t="s">
        <v>26</v>
      </c>
      <c r="BF151">
        <v>10</v>
      </c>
      <c r="BG151" t="s">
        <v>26</v>
      </c>
      <c r="BH151">
        <v>10</v>
      </c>
      <c r="BI151" t="s">
        <v>26</v>
      </c>
      <c r="BJ151">
        <v>9.6</v>
      </c>
    </row>
    <row r="152" spans="1:62" x14ac:dyDescent="0.35">
      <c r="A152" t="s">
        <v>167</v>
      </c>
      <c r="B152" t="s">
        <v>167</v>
      </c>
      <c r="C152" t="s">
        <v>135</v>
      </c>
      <c r="D152" t="s">
        <v>922</v>
      </c>
      <c r="E152" t="s">
        <v>168</v>
      </c>
      <c r="F152" t="s">
        <v>923</v>
      </c>
      <c r="G152" t="s">
        <v>39</v>
      </c>
      <c r="H152" t="s">
        <v>23</v>
      </c>
      <c r="I152" t="s">
        <v>166</v>
      </c>
      <c r="J152">
        <v>6.3</v>
      </c>
      <c r="L152">
        <v>21</v>
      </c>
      <c r="M152">
        <v>5.0999999999999996</v>
      </c>
      <c r="N152">
        <v>4.9000000000000004</v>
      </c>
      <c r="P152">
        <v>3.7</v>
      </c>
      <c r="Q152">
        <v>3.2</v>
      </c>
      <c r="R152">
        <v>6.2</v>
      </c>
      <c r="S152">
        <v>6</v>
      </c>
      <c r="T152">
        <v>6.4</v>
      </c>
      <c r="U152">
        <v>6.8</v>
      </c>
      <c r="V152">
        <v>8.1</v>
      </c>
      <c r="W152">
        <v>8.5</v>
      </c>
      <c r="X152">
        <v>7</v>
      </c>
      <c r="Y152">
        <v>8.1999999999999993</v>
      </c>
      <c r="AA152">
        <v>4.2</v>
      </c>
      <c r="AB152">
        <v>7.3</v>
      </c>
      <c r="AC152">
        <v>8.3000000000000007</v>
      </c>
      <c r="AD152">
        <v>8.6</v>
      </c>
      <c r="AE152">
        <v>10</v>
      </c>
      <c r="AF152">
        <v>9.4</v>
      </c>
      <c r="AG152">
        <v>6</v>
      </c>
      <c r="AH152">
        <v>8.1999999999999993</v>
      </c>
      <c r="AI152">
        <v>7.1</v>
      </c>
      <c r="AJ152">
        <v>7.1</v>
      </c>
      <c r="AL152">
        <v>7.3</v>
      </c>
      <c r="AM152">
        <v>7.3</v>
      </c>
      <c r="AN152">
        <v>5</v>
      </c>
      <c r="AO152">
        <v>7</v>
      </c>
      <c r="AP152">
        <v>8</v>
      </c>
      <c r="AQ152">
        <v>8</v>
      </c>
      <c r="AR152" t="s">
        <v>26</v>
      </c>
      <c r="AS152">
        <v>8.5</v>
      </c>
      <c r="AU152" t="s">
        <v>26</v>
      </c>
      <c r="AV152">
        <v>10</v>
      </c>
      <c r="AW152" t="s">
        <v>26</v>
      </c>
      <c r="AX152">
        <v>10</v>
      </c>
      <c r="AY152" t="s">
        <v>26</v>
      </c>
      <c r="AZ152">
        <v>10</v>
      </c>
      <c r="BA152" t="s">
        <v>26</v>
      </c>
      <c r="BB152">
        <v>10</v>
      </c>
      <c r="BC152" t="s">
        <v>26</v>
      </c>
      <c r="BD152">
        <v>10</v>
      </c>
      <c r="BE152" t="s">
        <v>26</v>
      </c>
      <c r="BF152">
        <v>10</v>
      </c>
      <c r="BG152" t="s">
        <v>26</v>
      </c>
      <c r="BH152">
        <v>10</v>
      </c>
      <c r="BI152" t="s">
        <v>26</v>
      </c>
      <c r="BJ152">
        <v>10</v>
      </c>
    </row>
    <row r="153" spans="1:62" x14ac:dyDescent="0.35">
      <c r="A153" t="s">
        <v>311</v>
      </c>
      <c r="B153" t="s">
        <v>311</v>
      </c>
      <c r="C153" t="s">
        <v>223</v>
      </c>
      <c r="D153" t="s">
        <v>924</v>
      </c>
      <c r="E153" t="s">
        <v>312</v>
      </c>
      <c r="F153" t="s">
        <v>925</v>
      </c>
      <c r="G153" t="s">
        <v>24</v>
      </c>
      <c r="H153" t="s">
        <v>23</v>
      </c>
      <c r="I153" t="s">
        <v>36</v>
      </c>
      <c r="J153">
        <v>8</v>
      </c>
      <c r="K153" t="s">
        <v>605</v>
      </c>
      <c r="L153">
        <v>7</v>
      </c>
      <c r="M153">
        <v>6.7</v>
      </c>
      <c r="N153">
        <v>5.6</v>
      </c>
      <c r="P153">
        <v>6.5</v>
      </c>
      <c r="Q153">
        <v>4.0999999999999996</v>
      </c>
      <c r="R153">
        <v>7.5</v>
      </c>
      <c r="S153">
        <v>7.5</v>
      </c>
      <c r="T153">
        <v>5.4</v>
      </c>
      <c r="U153">
        <v>5.9</v>
      </c>
      <c r="V153">
        <v>8</v>
      </c>
      <c r="W153">
        <v>8.3000000000000007</v>
      </c>
      <c r="X153">
        <v>9.8000000000000007</v>
      </c>
      <c r="Y153">
        <v>8.4</v>
      </c>
      <c r="Z153" t="s">
        <v>622</v>
      </c>
      <c r="AA153">
        <v>10</v>
      </c>
      <c r="AB153">
        <v>7.4</v>
      </c>
      <c r="AC153" t="s">
        <v>26</v>
      </c>
      <c r="AD153">
        <v>0</v>
      </c>
      <c r="AE153">
        <v>10</v>
      </c>
      <c r="AF153">
        <v>9.5</v>
      </c>
      <c r="AG153">
        <v>9.5</v>
      </c>
      <c r="AH153">
        <v>8.5</v>
      </c>
      <c r="AI153">
        <v>7.1</v>
      </c>
      <c r="AJ153">
        <v>6.7</v>
      </c>
      <c r="AL153">
        <v>7.3</v>
      </c>
      <c r="AM153">
        <v>6.7</v>
      </c>
      <c r="AN153">
        <v>7</v>
      </c>
      <c r="AO153">
        <v>7</v>
      </c>
      <c r="AP153" t="s">
        <v>26</v>
      </c>
      <c r="AQ153">
        <v>7.5</v>
      </c>
      <c r="AR153">
        <v>8.3000000000000007</v>
      </c>
      <c r="AS153">
        <v>8.5</v>
      </c>
      <c r="AU153">
        <v>10</v>
      </c>
      <c r="AV153">
        <v>10</v>
      </c>
      <c r="AW153">
        <v>10</v>
      </c>
      <c r="AX153">
        <v>10</v>
      </c>
      <c r="AY153">
        <v>8</v>
      </c>
      <c r="AZ153">
        <v>10</v>
      </c>
      <c r="BA153">
        <v>10</v>
      </c>
      <c r="BB153">
        <v>10</v>
      </c>
      <c r="BC153">
        <v>10</v>
      </c>
      <c r="BD153">
        <v>10</v>
      </c>
      <c r="BE153">
        <v>10</v>
      </c>
      <c r="BF153">
        <v>10</v>
      </c>
      <c r="BG153">
        <v>10</v>
      </c>
      <c r="BH153">
        <v>10</v>
      </c>
      <c r="BI153">
        <v>10</v>
      </c>
      <c r="BJ153">
        <v>10</v>
      </c>
    </row>
    <row r="154" spans="1:62" x14ac:dyDescent="0.35">
      <c r="A154" t="s">
        <v>217</v>
      </c>
      <c r="B154" t="s">
        <v>217</v>
      </c>
      <c r="C154" t="s">
        <v>135</v>
      </c>
      <c r="D154" t="s">
        <v>926</v>
      </c>
      <c r="E154" t="s">
        <v>927</v>
      </c>
      <c r="F154" t="s">
        <v>928</v>
      </c>
      <c r="G154" t="s">
        <v>39</v>
      </c>
      <c r="H154" t="s">
        <v>219</v>
      </c>
      <c r="I154" t="s">
        <v>48</v>
      </c>
      <c r="J154">
        <v>8.5</v>
      </c>
      <c r="K154" t="s">
        <v>662</v>
      </c>
      <c r="L154">
        <v>3</v>
      </c>
      <c r="M154">
        <v>9.1999999999999993</v>
      </c>
      <c r="N154">
        <v>4.9000000000000004</v>
      </c>
      <c r="O154" t="s">
        <v>662</v>
      </c>
      <c r="P154">
        <v>9.3000000000000007</v>
      </c>
      <c r="Q154">
        <v>3.2</v>
      </c>
      <c r="R154">
        <v>10</v>
      </c>
      <c r="S154">
        <v>6</v>
      </c>
      <c r="T154">
        <v>8.1999999999999993</v>
      </c>
      <c r="U154">
        <v>6.8</v>
      </c>
      <c r="V154">
        <v>8.8000000000000007</v>
      </c>
      <c r="W154">
        <v>8.5</v>
      </c>
      <c r="X154">
        <v>8.8000000000000007</v>
      </c>
      <c r="Y154">
        <v>8.1999999999999993</v>
      </c>
      <c r="Z154" t="s">
        <v>605</v>
      </c>
      <c r="AA154">
        <v>6.5</v>
      </c>
      <c r="AB154">
        <v>7.3</v>
      </c>
      <c r="AC154">
        <v>10</v>
      </c>
      <c r="AD154">
        <v>8.6</v>
      </c>
      <c r="AE154">
        <v>9.6999999999999993</v>
      </c>
      <c r="AF154">
        <v>9.4</v>
      </c>
      <c r="AG154">
        <v>8.5</v>
      </c>
      <c r="AH154">
        <v>8.1999999999999993</v>
      </c>
      <c r="AI154">
        <v>6.5</v>
      </c>
      <c r="AJ154">
        <v>7.1</v>
      </c>
      <c r="AL154">
        <v>7.3</v>
      </c>
      <c r="AM154">
        <v>7.3</v>
      </c>
      <c r="AN154">
        <v>8</v>
      </c>
      <c r="AO154">
        <v>7</v>
      </c>
      <c r="AP154">
        <v>5</v>
      </c>
      <c r="AQ154">
        <v>8</v>
      </c>
      <c r="AR154">
        <v>9.6999999999999993</v>
      </c>
      <c r="AS154">
        <v>8.5</v>
      </c>
      <c r="AT154" t="s">
        <v>622</v>
      </c>
      <c r="AU154">
        <v>10</v>
      </c>
      <c r="AV154">
        <v>10</v>
      </c>
      <c r="AW154">
        <v>10</v>
      </c>
      <c r="AX154">
        <v>10</v>
      </c>
      <c r="AY154">
        <v>9.4</v>
      </c>
      <c r="AZ154">
        <v>10</v>
      </c>
      <c r="BA154">
        <v>9.4</v>
      </c>
      <c r="BB154">
        <v>10</v>
      </c>
      <c r="BC154">
        <v>9.4</v>
      </c>
      <c r="BD154">
        <v>10</v>
      </c>
      <c r="BE154">
        <v>10</v>
      </c>
      <c r="BF154">
        <v>10</v>
      </c>
      <c r="BG154">
        <v>9.4</v>
      </c>
      <c r="BH154">
        <v>10</v>
      </c>
      <c r="BI154">
        <v>9.4</v>
      </c>
      <c r="BJ154">
        <v>10</v>
      </c>
    </row>
    <row r="155" spans="1:62" x14ac:dyDescent="0.35">
      <c r="A155" t="s">
        <v>55</v>
      </c>
      <c r="B155" t="s">
        <v>55</v>
      </c>
      <c r="C155" t="s">
        <v>21</v>
      </c>
      <c r="D155" t="s">
        <v>929</v>
      </c>
      <c r="E155" t="s">
        <v>56</v>
      </c>
      <c r="F155" t="s">
        <v>930</v>
      </c>
      <c r="G155" t="s">
        <v>57</v>
      </c>
      <c r="H155" t="s">
        <v>931</v>
      </c>
      <c r="I155" t="s">
        <v>48</v>
      </c>
      <c r="J155">
        <v>5.6</v>
      </c>
      <c r="L155">
        <v>25</v>
      </c>
      <c r="M155">
        <v>2.6</v>
      </c>
      <c r="N155">
        <v>3.6</v>
      </c>
      <c r="P155">
        <v>1</v>
      </c>
      <c r="Q155">
        <v>1</v>
      </c>
      <c r="R155">
        <v>5.3</v>
      </c>
      <c r="S155">
        <v>7.1</v>
      </c>
      <c r="T155">
        <v>0</v>
      </c>
      <c r="U155">
        <v>6.3</v>
      </c>
      <c r="V155">
        <v>9.5</v>
      </c>
      <c r="W155">
        <v>8.9</v>
      </c>
      <c r="X155">
        <v>7.8</v>
      </c>
      <c r="Y155">
        <v>7.8</v>
      </c>
      <c r="AA155">
        <v>4.9000000000000004</v>
      </c>
      <c r="AB155">
        <v>7.6</v>
      </c>
      <c r="AC155">
        <v>7.4</v>
      </c>
      <c r="AD155">
        <v>7.5</v>
      </c>
      <c r="AE155">
        <v>9.5</v>
      </c>
      <c r="AF155">
        <v>7.4</v>
      </c>
      <c r="AG155">
        <v>8.5</v>
      </c>
      <c r="AH155">
        <v>8.6999999999999993</v>
      </c>
      <c r="AI155">
        <v>7</v>
      </c>
      <c r="AJ155">
        <v>7.1</v>
      </c>
      <c r="AL155">
        <v>6</v>
      </c>
      <c r="AM155">
        <v>6.7</v>
      </c>
      <c r="AN155" t="s">
        <v>26</v>
      </c>
      <c r="AO155">
        <v>6</v>
      </c>
      <c r="AP155">
        <v>8</v>
      </c>
      <c r="AQ155">
        <v>7.5</v>
      </c>
      <c r="AR155" t="s">
        <v>26</v>
      </c>
      <c r="AS155">
        <v>8.3000000000000007</v>
      </c>
      <c r="AU155" t="s">
        <v>26</v>
      </c>
      <c r="AV155">
        <v>10</v>
      </c>
      <c r="AW155" t="s">
        <v>26</v>
      </c>
      <c r="AX155">
        <v>10</v>
      </c>
      <c r="AY155" t="s">
        <v>26</v>
      </c>
      <c r="AZ155">
        <v>10</v>
      </c>
      <c r="BA155" t="s">
        <v>26</v>
      </c>
      <c r="BB155">
        <v>10</v>
      </c>
      <c r="BC155" t="s">
        <v>26</v>
      </c>
      <c r="BD155">
        <v>10</v>
      </c>
      <c r="BE155" t="s">
        <v>26</v>
      </c>
      <c r="BF155">
        <v>10</v>
      </c>
      <c r="BG155" t="s">
        <v>26</v>
      </c>
      <c r="BH155">
        <v>10</v>
      </c>
      <c r="BI155" t="s">
        <v>26</v>
      </c>
      <c r="BJ155">
        <v>10</v>
      </c>
    </row>
    <row r="156" spans="1:62" x14ac:dyDescent="0.35">
      <c r="A156" t="s">
        <v>45</v>
      </c>
      <c r="B156" t="s">
        <v>45</v>
      </c>
      <c r="C156" t="s">
        <v>21</v>
      </c>
      <c r="D156" t="s">
        <v>932</v>
      </c>
      <c r="E156" t="s">
        <v>46</v>
      </c>
      <c r="F156" t="s">
        <v>933</v>
      </c>
      <c r="G156" t="s">
        <v>39</v>
      </c>
      <c r="H156" t="s">
        <v>47</v>
      </c>
      <c r="I156" t="s">
        <v>48</v>
      </c>
      <c r="J156">
        <v>5.8</v>
      </c>
      <c r="L156">
        <v>20</v>
      </c>
      <c r="M156">
        <v>3</v>
      </c>
      <c r="N156">
        <v>3.6</v>
      </c>
      <c r="P156">
        <v>1</v>
      </c>
      <c r="Q156">
        <v>1</v>
      </c>
      <c r="R156">
        <v>8.1999999999999993</v>
      </c>
      <c r="S156">
        <v>7.1</v>
      </c>
      <c r="T156">
        <v>0</v>
      </c>
      <c r="U156">
        <v>6.3</v>
      </c>
      <c r="V156">
        <v>8.4</v>
      </c>
      <c r="W156">
        <v>8.9</v>
      </c>
      <c r="X156">
        <v>8.4</v>
      </c>
      <c r="Y156">
        <v>7.8</v>
      </c>
      <c r="Z156" t="s">
        <v>605</v>
      </c>
      <c r="AA156">
        <v>8.9</v>
      </c>
      <c r="AB156">
        <v>7.6</v>
      </c>
      <c r="AC156">
        <v>8.9</v>
      </c>
      <c r="AD156">
        <v>7.5</v>
      </c>
      <c r="AE156">
        <v>8.1999999999999993</v>
      </c>
      <c r="AF156">
        <v>7.4</v>
      </c>
      <c r="AG156">
        <v>8.1</v>
      </c>
      <c r="AH156">
        <v>8.6999999999999993</v>
      </c>
      <c r="AI156">
        <v>6.2</v>
      </c>
      <c r="AJ156">
        <v>7.1</v>
      </c>
      <c r="AL156">
        <v>6</v>
      </c>
      <c r="AM156">
        <v>6.7</v>
      </c>
      <c r="AN156">
        <v>5</v>
      </c>
      <c r="AO156">
        <v>6</v>
      </c>
      <c r="AP156">
        <v>7</v>
      </c>
      <c r="AQ156">
        <v>7.5</v>
      </c>
      <c r="AR156">
        <v>10</v>
      </c>
      <c r="AS156">
        <v>8.3000000000000007</v>
      </c>
      <c r="AT156" t="s">
        <v>608</v>
      </c>
      <c r="AU156">
        <v>10</v>
      </c>
      <c r="AV156">
        <v>10</v>
      </c>
      <c r="AW156">
        <v>10</v>
      </c>
      <c r="AX156">
        <v>10</v>
      </c>
      <c r="AY156">
        <v>10</v>
      </c>
      <c r="AZ156">
        <v>10</v>
      </c>
      <c r="BA156">
        <v>10</v>
      </c>
      <c r="BB156">
        <v>10</v>
      </c>
      <c r="BC156">
        <v>10</v>
      </c>
      <c r="BD156">
        <v>10</v>
      </c>
      <c r="BE156">
        <v>10</v>
      </c>
      <c r="BF156">
        <v>10</v>
      </c>
      <c r="BG156">
        <v>10</v>
      </c>
      <c r="BH156">
        <v>10</v>
      </c>
      <c r="BI156">
        <v>9.6</v>
      </c>
      <c r="BJ156">
        <v>10</v>
      </c>
    </row>
    <row r="157" spans="1:62" x14ac:dyDescent="0.35">
      <c r="A157" t="s">
        <v>61</v>
      </c>
      <c r="B157" t="s">
        <v>934</v>
      </c>
      <c r="C157" t="s">
        <v>21</v>
      </c>
      <c r="D157" t="s">
        <v>935</v>
      </c>
      <c r="E157" t="s">
        <v>62</v>
      </c>
      <c r="F157" t="s">
        <v>936</v>
      </c>
      <c r="G157" t="s">
        <v>24</v>
      </c>
      <c r="H157" t="s">
        <v>63</v>
      </c>
      <c r="I157" t="s">
        <v>64</v>
      </c>
      <c r="J157">
        <v>6</v>
      </c>
      <c r="L157">
        <v>14</v>
      </c>
      <c r="M157">
        <v>3.2</v>
      </c>
      <c r="N157">
        <v>3.6</v>
      </c>
      <c r="P157">
        <v>0</v>
      </c>
      <c r="Q157">
        <v>1</v>
      </c>
      <c r="R157">
        <v>6.6</v>
      </c>
      <c r="S157">
        <v>7.1</v>
      </c>
      <c r="T157">
        <v>7.2</v>
      </c>
      <c r="U157">
        <v>6.3</v>
      </c>
      <c r="V157">
        <v>8.5</v>
      </c>
      <c r="W157">
        <v>8.9</v>
      </c>
      <c r="X157">
        <v>8.1</v>
      </c>
      <c r="Y157">
        <v>7.8</v>
      </c>
      <c r="AA157">
        <v>9.9</v>
      </c>
      <c r="AB157">
        <v>7.6</v>
      </c>
      <c r="AC157">
        <v>7.1</v>
      </c>
      <c r="AD157">
        <v>7.5</v>
      </c>
      <c r="AE157">
        <v>9.9</v>
      </c>
      <c r="AF157">
        <v>7.4</v>
      </c>
      <c r="AG157">
        <v>7.6</v>
      </c>
      <c r="AH157">
        <v>8.6999999999999993</v>
      </c>
      <c r="AI157">
        <v>7.1</v>
      </c>
      <c r="AJ157">
        <v>7.1</v>
      </c>
      <c r="AL157">
        <v>7.3</v>
      </c>
      <c r="AM157">
        <v>6.7</v>
      </c>
      <c r="AN157" t="s">
        <v>26</v>
      </c>
      <c r="AO157">
        <v>6</v>
      </c>
      <c r="AP157" t="s">
        <v>26</v>
      </c>
      <c r="AQ157">
        <v>7.5</v>
      </c>
      <c r="AR157">
        <v>6.1</v>
      </c>
      <c r="AS157">
        <v>8.3000000000000007</v>
      </c>
      <c r="AU157">
        <v>8</v>
      </c>
      <c r="AV157">
        <v>10</v>
      </c>
      <c r="AW157">
        <v>6</v>
      </c>
      <c r="AX157">
        <v>10</v>
      </c>
      <c r="AY157">
        <v>6</v>
      </c>
      <c r="AZ157">
        <v>10</v>
      </c>
      <c r="BA157">
        <v>8</v>
      </c>
      <c r="BB157">
        <v>10</v>
      </c>
      <c r="BC157">
        <v>8</v>
      </c>
      <c r="BD157">
        <v>10</v>
      </c>
      <c r="BE157">
        <v>6</v>
      </c>
      <c r="BF157">
        <v>10</v>
      </c>
      <c r="BG157">
        <v>6</v>
      </c>
      <c r="BH157">
        <v>10</v>
      </c>
      <c r="BI157">
        <v>6</v>
      </c>
      <c r="BJ157">
        <v>10</v>
      </c>
    </row>
    <row r="158" spans="1:62" x14ac:dyDescent="0.35">
      <c r="A158" t="s">
        <v>183</v>
      </c>
      <c r="B158" t="s">
        <v>937</v>
      </c>
      <c r="C158" t="s">
        <v>135</v>
      </c>
      <c r="D158" t="s">
        <v>938</v>
      </c>
      <c r="E158" t="s">
        <v>939</v>
      </c>
      <c r="F158" t="s">
        <v>940</v>
      </c>
      <c r="G158" t="s">
        <v>39</v>
      </c>
      <c r="H158" t="s">
        <v>23</v>
      </c>
      <c r="I158" t="s">
        <v>185</v>
      </c>
      <c r="J158">
        <v>4.9000000000000004</v>
      </c>
      <c r="L158">
        <v>38</v>
      </c>
      <c r="M158">
        <v>2.7</v>
      </c>
      <c r="N158">
        <v>4.9000000000000004</v>
      </c>
      <c r="P158">
        <v>0</v>
      </c>
      <c r="Q158">
        <v>3.2</v>
      </c>
      <c r="R158">
        <v>4.7</v>
      </c>
      <c r="S158">
        <v>6</v>
      </c>
      <c r="T158">
        <v>6.5</v>
      </c>
      <c r="U158">
        <v>6.8</v>
      </c>
      <c r="V158">
        <v>8.1</v>
      </c>
      <c r="W158">
        <v>8.5</v>
      </c>
      <c r="X158">
        <v>6.1</v>
      </c>
      <c r="Y158">
        <v>8.1999999999999993</v>
      </c>
      <c r="AA158">
        <v>5.0999999999999996</v>
      </c>
      <c r="AB158">
        <v>7.3</v>
      </c>
      <c r="AC158">
        <v>6.1</v>
      </c>
      <c r="AD158">
        <v>8.6</v>
      </c>
      <c r="AE158">
        <v>8.1</v>
      </c>
      <c r="AF158">
        <v>9.4</v>
      </c>
      <c r="AG158">
        <v>5.8</v>
      </c>
      <c r="AH158">
        <v>8.1999999999999993</v>
      </c>
      <c r="AI158">
        <v>6.7</v>
      </c>
      <c r="AJ158">
        <v>7.1</v>
      </c>
      <c r="AL158" t="s">
        <v>26</v>
      </c>
      <c r="AM158">
        <v>7.3</v>
      </c>
      <c r="AN158" t="s">
        <v>26</v>
      </c>
      <c r="AO158">
        <v>7</v>
      </c>
      <c r="AP158" t="s">
        <v>26</v>
      </c>
      <c r="AQ158">
        <v>8</v>
      </c>
      <c r="AR158">
        <v>7</v>
      </c>
      <c r="AS158">
        <v>8.5</v>
      </c>
      <c r="AU158">
        <v>8</v>
      </c>
      <c r="AV158">
        <v>10</v>
      </c>
      <c r="AW158">
        <v>8</v>
      </c>
      <c r="AX158">
        <v>10</v>
      </c>
      <c r="AY158">
        <v>8</v>
      </c>
      <c r="AZ158">
        <v>10</v>
      </c>
      <c r="BA158">
        <v>8</v>
      </c>
      <c r="BB158">
        <v>10</v>
      </c>
      <c r="BC158">
        <v>8</v>
      </c>
      <c r="BD158">
        <v>10</v>
      </c>
      <c r="BE158">
        <v>8</v>
      </c>
      <c r="BF158">
        <v>10</v>
      </c>
      <c r="BG158">
        <v>8</v>
      </c>
      <c r="BH158">
        <v>10</v>
      </c>
      <c r="BI158">
        <v>8</v>
      </c>
      <c r="BJ158">
        <v>10</v>
      </c>
    </row>
  </sheetData>
  <phoneticPr fontId="18" type="noConversion"/>
  <conditionalFormatting sqref="B2:B158">
    <cfRule type="cellIs" dxfId="4" priority="1" operator="equal">
      <formula>$A2</formula>
    </cfRule>
  </conditionalFormatting>
  <conditionalFormatting sqref="H142:H143 H8 H145 E1:E158 F155:F158">
    <cfRule type="duplicateValues" dxfId="3"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ED06-5B11-45F2-B655-7E66E2361944}">
  <dimension ref="A1:BJ51"/>
  <sheetViews>
    <sheetView workbookViewId="0">
      <selection activeCell="G2" sqref="G2"/>
    </sheetView>
  </sheetViews>
  <sheetFormatPr defaultRowHeight="14.5" x14ac:dyDescent="0.35"/>
  <sheetData>
    <row r="1" spans="1:62" ht="58" x14ac:dyDescent="0.35">
      <c r="A1" s="2" t="s">
        <v>0</v>
      </c>
      <c r="B1" s="2" t="s">
        <v>557</v>
      </c>
      <c r="C1" s="2" t="s">
        <v>558</v>
      </c>
      <c r="D1" s="2" t="s">
        <v>559</v>
      </c>
      <c r="E1" s="2" t="s">
        <v>2</v>
      </c>
      <c r="F1" s="2" t="s">
        <v>4</v>
      </c>
      <c r="G1" s="2" t="s">
        <v>3</v>
      </c>
      <c r="H1" s="2" t="s">
        <v>5</v>
      </c>
      <c r="I1" s="2" t="s">
        <v>6</v>
      </c>
      <c r="J1" s="2" t="s">
        <v>560</v>
      </c>
      <c r="K1" s="2" t="s">
        <v>561</v>
      </c>
      <c r="L1" s="2" t="s">
        <v>562</v>
      </c>
      <c r="M1" s="2" t="s">
        <v>563</v>
      </c>
      <c r="N1" s="2" t="s">
        <v>564</v>
      </c>
      <c r="O1" s="2" t="s">
        <v>565</v>
      </c>
      <c r="P1" s="2" t="s">
        <v>566</v>
      </c>
      <c r="Q1" s="2" t="s">
        <v>567</v>
      </c>
      <c r="R1" s="2" t="s">
        <v>568</v>
      </c>
      <c r="S1" s="2" t="s">
        <v>569</v>
      </c>
      <c r="T1" s="2" t="s">
        <v>570</v>
      </c>
      <c r="U1" s="2" t="s">
        <v>571</v>
      </c>
      <c r="V1" s="2" t="s">
        <v>572</v>
      </c>
      <c r="W1" s="2" t="s">
        <v>573</v>
      </c>
      <c r="X1" s="2" t="s">
        <v>574</v>
      </c>
      <c r="Y1" s="2" t="s">
        <v>575</v>
      </c>
      <c r="Z1" s="2" t="s">
        <v>576</v>
      </c>
      <c r="AA1" s="2" t="s">
        <v>577</v>
      </c>
      <c r="AB1" s="2" t="s">
        <v>578</v>
      </c>
      <c r="AC1" s="2" t="s">
        <v>579</v>
      </c>
      <c r="AD1" s="2" t="s">
        <v>580</v>
      </c>
      <c r="AE1" s="2" t="s">
        <v>581</v>
      </c>
      <c r="AF1" s="2" t="s">
        <v>582</v>
      </c>
      <c r="AG1" s="2" t="s">
        <v>583</v>
      </c>
      <c r="AH1" s="2" t="s">
        <v>584</v>
      </c>
      <c r="AI1" s="2" t="s">
        <v>7</v>
      </c>
      <c r="AJ1" s="2" t="s">
        <v>585</v>
      </c>
      <c r="AK1" s="2" t="s">
        <v>586</v>
      </c>
      <c r="AL1" s="2" t="s">
        <v>8</v>
      </c>
      <c r="AM1" s="2" t="s">
        <v>587</v>
      </c>
      <c r="AN1" s="2" t="s">
        <v>9</v>
      </c>
      <c r="AO1" s="2" t="s">
        <v>588</v>
      </c>
      <c r="AP1" s="2" t="s">
        <v>10</v>
      </c>
      <c r="AQ1" s="2" t="s">
        <v>589</v>
      </c>
      <c r="AR1" s="2" t="s">
        <v>11</v>
      </c>
      <c r="AS1" s="2" t="s">
        <v>590</v>
      </c>
      <c r="AT1" s="2" t="s">
        <v>591</v>
      </c>
      <c r="AU1" s="2" t="s">
        <v>12</v>
      </c>
      <c r="AV1" s="2" t="s">
        <v>592</v>
      </c>
      <c r="AW1" s="2" t="s">
        <v>13</v>
      </c>
      <c r="AX1" s="2" t="s">
        <v>593</v>
      </c>
      <c r="AY1" s="2" t="s">
        <v>14</v>
      </c>
      <c r="AZ1" s="2" t="s">
        <v>594</v>
      </c>
      <c r="BA1" s="2" t="s">
        <v>15</v>
      </c>
      <c r="BB1" s="2" t="s">
        <v>595</v>
      </c>
      <c r="BC1" s="2" t="s">
        <v>16</v>
      </c>
      <c r="BD1" s="2" t="s">
        <v>596</v>
      </c>
      <c r="BE1" s="2" t="s">
        <v>17</v>
      </c>
      <c r="BF1" s="2" t="s">
        <v>597</v>
      </c>
      <c r="BG1" s="2" t="s">
        <v>18</v>
      </c>
      <c r="BH1" s="2" t="s">
        <v>598</v>
      </c>
      <c r="BI1" s="2" t="s">
        <v>19</v>
      </c>
      <c r="BJ1" s="2" t="s">
        <v>599</v>
      </c>
    </row>
    <row r="2" spans="1:62" x14ac:dyDescent="0.35">
      <c r="A2" t="s">
        <v>522</v>
      </c>
      <c r="B2" t="s">
        <v>522</v>
      </c>
      <c r="C2" t="s">
        <v>402</v>
      </c>
      <c r="D2" t="s">
        <v>941</v>
      </c>
      <c r="E2" t="s">
        <v>523</v>
      </c>
      <c r="F2" t="s">
        <v>39</v>
      </c>
      <c r="G2" t="s">
        <v>400</v>
      </c>
      <c r="H2" t="s">
        <v>524</v>
      </c>
      <c r="I2">
        <v>0</v>
      </c>
      <c r="J2">
        <v>3.3</v>
      </c>
      <c r="L2">
        <v>45</v>
      </c>
      <c r="M2" t="s">
        <v>26</v>
      </c>
      <c r="N2">
        <v>5.4</v>
      </c>
      <c r="P2">
        <v>1.6</v>
      </c>
      <c r="Q2">
        <v>1.3</v>
      </c>
      <c r="R2">
        <v>2.7</v>
      </c>
      <c r="S2">
        <v>2.7</v>
      </c>
      <c r="T2">
        <v>6.2</v>
      </c>
      <c r="U2">
        <v>4.4000000000000004</v>
      </c>
      <c r="V2" t="s">
        <v>26</v>
      </c>
      <c r="W2">
        <v>0</v>
      </c>
      <c r="X2" t="s">
        <v>26</v>
      </c>
      <c r="Y2">
        <v>6.3</v>
      </c>
      <c r="AA2">
        <v>1</v>
      </c>
      <c r="AB2">
        <v>3</v>
      </c>
      <c r="AC2">
        <v>3</v>
      </c>
      <c r="AD2">
        <v>4</v>
      </c>
      <c r="AE2">
        <v>2.2999999999999998</v>
      </c>
      <c r="AF2">
        <v>4.8</v>
      </c>
      <c r="AG2" t="s">
        <v>26</v>
      </c>
      <c r="AH2">
        <v>0</v>
      </c>
      <c r="AI2" t="s">
        <v>26</v>
      </c>
      <c r="AJ2">
        <v>8.6999999999999993</v>
      </c>
      <c r="AL2">
        <v>8</v>
      </c>
      <c r="AM2">
        <v>9</v>
      </c>
      <c r="AN2">
        <v>4</v>
      </c>
      <c r="AO2">
        <v>8</v>
      </c>
      <c r="AP2" t="s">
        <v>26</v>
      </c>
      <c r="AQ2">
        <v>0</v>
      </c>
      <c r="AR2" t="s">
        <v>26</v>
      </c>
      <c r="AS2">
        <v>9.3000000000000007</v>
      </c>
      <c r="AU2" t="s">
        <v>26</v>
      </c>
      <c r="AV2">
        <v>10</v>
      </c>
      <c r="AW2" t="s">
        <v>26</v>
      </c>
      <c r="AX2">
        <v>9.8000000000000007</v>
      </c>
      <c r="AY2" t="s">
        <v>26</v>
      </c>
      <c r="AZ2">
        <v>10</v>
      </c>
      <c r="BA2" t="s">
        <v>26</v>
      </c>
      <c r="BB2">
        <v>10</v>
      </c>
      <c r="BC2" t="s">
        <v>26</v>
      </c>
      <c r="BD2">
        <v>9.6</v>
      </c>
      <c r="BE2" t="s">
        <v>26</v>
      </c>
      <c r="BF2">
        <v>9</v>
      </c>
      <c r="BG2" t="s">
        <v>26</v>
      </c>
      <c r="BH2">
        <v>10</v>
      </c>
      <c r="BI2" t="s">
        <v>26</v>
      </c>
      <c r="BJ2">
        <v>9.5</v>
      </c>
    </row>
    <row r="3" spans="1:62" x14ac:dyDescent="0.35">
      <c r="A3" t="s">
        <v>415</v>
      </c>
      <c r="B3" t="s">
        <v>415</v>
      </c>
      <c r="C3" t="s">
        <v>402</v>
      </c>
      <c r="D3" t="s">
        <v>942</v>
      </c>
      <c r="E3" t="s">
        <v>416</v>
      </c>
      <c r="F3" t="s">
        <v>39</v>
      </c>
      <c r="G3" t="s">
        <v>60</v>
      </c>
      <c r="H3" t="s">
        <v>73</v>
      </c>
      <c r="I3">
        <v>0</v>
      </c>
      <c r="J3">
        <v>8.6999999999999993</v>
      </c>
      <c r="K3" t="s">
        <v>602</v>
      </c>
      <c r="L3">
        <v>1</v>
      </c>
      <c r="M3">
        <v>10</v>
      </c>
      <c r="N3">
        <v>5.4</v>
      </c>
      <c r="O3" t="s">
        <v>602</v>
      </c>
      <c r="P3">
        <v>10</v>
      </c>
      <c r="Q3">
        <v>1.3</v>
      </c>
      <c r="R3">
        <v>8.4</v>
      </c>
      <c r="S3">
        <v>2.7</v>
      </c>
      <c r="T3">
        <v>4.2</v>
      </c>
      <c r="U3">
        <v>4.4000000000000004</v>
      </c>
      <c r="V3" t="s">
        <v>26</v>
      </c>
      <c r="W3">
        <v>0</v>
      </c>
      <c r="X3">
        <v>10</v>
      </c>
      <c r="Y3">
        <v>6.3</v>
      </c>
      <c r="Z3" t="s">
        <v>602</v>
      </c>
      <c r="AA3">
        <v>7</v>
      </c>
      <c r="AB3">
        <v>3</v>
      </c>
      <c r="AC3">
        <v>10</v>
      </c>
      <c r="AD3">
        <v>4</v>
      </c>
      <c r="AE3">
        <v>8.5</v>
      </c>
      <c r="AF3">
        <v>4.8</v>
      </c>
      <c r="AG3" t="s">
        <v>26</v>
      </c>
      <c r="AH3">
        <v>0</v>
      </c>
      <c r="AI3">
        <v>8.6999999999999993</v>
      </c>
      <c r="AJ3">
        <v>8.6999999999999993</v>
      </c>
      <c r="AL3">
        <v>9</v>
      </c>
      <c r="AM3">
        <v>9</v>
      </c>
      <c r="AN3">
        <v>7</v>
      </c>
      <c r="AO3">
        <v>8</v>
      </c>
      <c r="AP3" t="s">
        <v>26</v>
      </c>
      <c r="AQ3">
        <v>0</v>
      </c>
      <c r="AR3">
        <v>9.9</v>
      </c>
      <c r="AS3">
        <v>9.3000000000000007</v>
      </c>
      <c r="AT3" t="s">
        <v>608</v>
      </c>
      <c r="AU3">
        <v>10</v>
      </c>
      <c r="AV3">
        <v>10</v>
      </c>
      <c r="AW3">
        <v>10</v>
      </c>
      <c r="AX3">
        <v>9.8000000000000007</v>
      </c>
      <c r="AY3">
        <v>10</v>
      </c>
      <c r="AZ3">
        <v>10</v>
      </c>
      <c r="BA3">
        <v>10</v>
      </c>
      <c r="BB3">
        <v>10</v>
      </c>
      <c r="BC3">
        <v>9.3000000000000007</v>
      </c>
      <c r="BD3">
        <v>9.6</v>
      </c>
      <c r="BE3">
        <v>10</v>
      </c>
      <c r="BF3">
        <v>9</v>
      </c>
      <c r="BG3">
        <v>10</v>
      </c>
      <c r="BH3">
        <v>10</v>
      </c>
      <c r="BI3">
        <v>10</v>
      </c>
      <c r="BJ3">
        <v>9.5</v>
      </c>
    </row>
    <row r="4" spans="1:62" x14ac:dyDescent="0.35">
      <c r="A4" t="s">
        <v>465</v>
      </c>
      <c r="B4" t="s">
        <v>465</v>
      </c>
      <c r="C4" t="s">
        <v>402</v>
      </c>
      <c r="D4" t="s">
        <v>943</v>
      </c>
      <c r="E4" t="s">
        <v>466</v>
      </c>
      <c r="F4" t="s">
        <v>39</v>
      </c>
      <c r="G4" t="s">
        <v>60</v>
      </c>
      <c r="H4" t="s">
        <v>73</v>
      </c>
      <c r="I4">
        <v>0</v>
      </c>
      <c r="J4">
        <v>5.6</v>
      </c>
      <c r="K4" t="s">
        <v>605</v>
      </c>
      <c r="L4">
        <v>7</v>
      </c>
      <c r="M4">
        <v>6.9</v>
      </c>
      <c r="N4">
        <v>5.4</v>
      </c>
      <c r="O4" t="s">
        <v>608</v>
      </c>
      <c r="P4">
        <v>4.4000000000000004</v>
      </c>
      <c r="Q4">
        <v>1.3</v>
      </c>
      <c r="R4">
        <v>3.4</v>
      </c>
      <c r="S4">
        <v>2.7</v>
      </c>
      <c r="T4">
        <v>5.8</v>
      </c>
      <c r="U4">
        <v>4.4000000000000004</v>
      </c>
      <c r="V4" t="s">
        <v>26</v>
      </c>
      <c r="W4">
        <v>0</v>
      </c>
      <c r="X4">
        <v>7.2</v>
      </c>
      <c r="Y4">
        <v>6.3</v>
      </c>
      <c r="Z4" t="s">
        <v>605</v>
      </c>
      <c r="AA4">
        <v>1.8</v>
      </c>
      <c r="AB4">
        <v>3</v>
      </c>
      <c r="AC4">
        <v>3.2</v>
      </c>
      <c r="AD4">
        <v>4</v>
      </c>
      <c r="AE4">
        <v>8.5</v>
      </c>
      <c r="AF4">
        <v>4.8</v>
      </c>
      <c r="AG4" t="s">
        <v>26</v>
      </c>
      <c r="AH4">
        <v>0</v>
      </c>
      <c r="AI4">
        <v>8.6999999999999993</v>
      </c>
      <c r="AJ4">
        <v>8.6999999999999993</v>
      </c>
      <c r="AL4">
        <v>9</v>
      </c>
      <c r="AM4">
        <v>9</v>
      </c>
      <c r="AN4">
        <v>7</v>
      </c>
      <c r="AO4">
        <v>8</v>
      </c>
      <c r="AP4" t="s">
        <v>26</v>
      </c>
      <c r="AQ4">
        <v>0</v>
      </c>
      <c r="AR4">
        <v>9.8000000000000007</v>
      </c>
      <c r="AS4">
        <v>9.3000000000000007</v>
      </c>
      <c r="AT4" t="s">
        <v>605</v>
      </c>
      <c r="AU4">
        <v>9.5</v>
      </c>
      <c r="AV4">
        <v>10</v>
      </c>
      <c r="AW4">
        <v>10</v>
      </c>
      <c r="AX4">
        <v>9.8000000000000007</v>
      </c>
      <c r="AY4">
        <v>10</v>
      </c>
      <c r="AZ4">
        <v>10</v>
      </c>
      <c r="BA4">
        <v>10</v>
      </c>
      <c r="BB4">
        <v>10</v>
      </c>
      <c r="BC4">
        <v>9.5</v>
      </c>
      <c r="BD4">
        <v>9.6</v>
      </c>
      <c r="BE4">
        <v>9.5</v>
      </c>
      <c r="BF4">
        <v>9</v>
      </c>
      <c r="BG4">
        <v>9.5</v>
      </c>
      <c r="BH4">
        <v>10</v>
      </c>
      <c r="BI4">
        <v>9.5</v>
      </c>
      <c r="BJ4">
        <v>9.5</v>
      </c>
    </row>
    <row r="5" spans="1:62" x14ac:dyDescent="0.35">
      <c r="A5" t="s">
        <v>421</v>
      </c>
      <c r="B5" t="s">
        <v>421</v>
      </c>
      <c r="C5" t="s">
        <v>402</v>
      </c>
      <c r="D5" t="s">
        <v>944</v>
      </c>
      <c r="E5" t="s">
        <v>422</v>
      </c>
      <c r="F5" t="s">
        <v>39</v>
      </c>
      <c r="G5" t="s">
        <v>60</v>
      </c>
      <c r="H5" t="s">
        <v>73</v>
      </c>
      <c r="I5">
        <v>0</v>
      </c>
      <c r="J5">
        <v>4.5</v>
      </c>
      <c r="L5">
        <v>12</v>
      </c>
      <c r="M5">
        <v>5.4</v>
      </c>
      <c r="N5">
        <v>5.4</v>
      </c>
      <c r="P5">
        <v>1.6</v>
      </c>
      <c r="Q5">
        <v>1.3</v>
      </c>
      <c r="R5">
        <v>1.8</v>
      </c>
      <c r="S5">
        <v>2.7</v>
      </c>
      <c r="T5">
        <v>6.2</v>
      </c>
      <c r="U5">
        <v>4.4000000000000004</v>
      </c>
      <c r="V5" t="s">
        <v>26</v>
      </c>
      <c r="W5">
        <v>0</v>
      </c>
      <c r="X5">
        <v>7.1</v>
      </c>
      <c r="Y5">
        <v>6.3</v>
      </c>
      <c r="AA5">
        <v>2.8</v>
      </c>
      <c r="AB5">
        <v>3</v>
      </c>
      <c r="AC5">
        <v>5.3</v>
      </c>
      <c r="AD5">
        <v>4</v>
      </c>
      <c r="AE5">
        <v>6.9</v>
      </c>
      <c r="AF5">
        <v>4.8</v>
      </c>
      <c r="AG5" t="s">
        <v>26</v>
      </c>
      <c r="AH5">
        <v>0</v>
      </c>
      <c r="AI5">
        <v>8.6999999999999993</v>
      </c>
      <c r="AJ5">
        <v>8.6999999999999993</v>
      </c>
      <c r="AL5">
        <v>9</v>
      </c>
      <c r="AM5">
        <v>9</v>
      </c>
      <c r="AN5">
        <v>7</v>
      </c>
      <c r="AO5">
        <v>8</v>
      </c>
      <c r="AP5" t="s">
        <v>26</v>
      </c>
      <c r="AQ5">
        <v>0</v>
      </c>
      <c r="AR5">
        <v>9.6999999999999993</v>
      </c>
      <c r="AS5">
        <v>9.3000000000000007</v>
      </c>
      <c r="AU5">
        <v>9.3000000000000007</v>
      </c>
      <c r="AV5">
        <v>10</v>
      </c>
      <c r="AW5">
        <v>10</v>
      </c>
      <c r="AX5">
        <v>9.8000000000000007</v>
      </c>
      <c r="AY5">
        <v>10</v>
      </c>
      <c r="AZ5">
        <v>10</v>
      </c>
      <c r="BA5">
        <v>10</v>
      </c>
      <c r="BB5">
        <v>10</v>
      </c>
      <c r="BC5">
        <v>10</v>
      </c>
      <c r="BD5">
        <v>9.6</v>
      </c>
      <c r="BE5">
        <v>8.6999999999999993</v>
      </c>
      <c r="BF5">
        <v>9</v>
      </c>
      <c r="BG5">
        <v>9.3000000000000007</v>
      </c>
      <c r="BH5">
        <v>10</v>
      </c>
      <c r="BI5">
        <v>10</v>
      </c>
      <c r="BJ5">
        <v>9.5</v>
      </c>
    </row>
    <row r="6" spans="1:62" x14ac:dyDescent="0.35">
      <c r="A6" t="s">
        <v>412</v>
      </c>
      <c r="B6" t="s">
        <v>412</v>
      </c>
      <c r="C6" t="s">
        <v>402</v>
      </c>
      <c r="D6" t="s">
        <v>945</v>
      </c>
      <c r="E6" t="s">
        <v>413</v>
      </c>
      <c r="F6" t="s">
        <v>24</v>
      </c>
      <c r="G6" t="s">
        <v>60</v>
      </c>
      <c r="H6" t="s">
        <v>73</v>
      </c>
      <c r="I6">
        <v>0</v>
      </c>
      <c r="J6">
        <v>4.5</v>
      </c>
      <c r="L6">
        <v>14</v>
      </c>
      <c r="M6">
        <v>6.4</v>
      </c>
      <c r="N6">
        <v>5.4</v>
      </c>
      <c r="O6" t="s">
        <v>605</v>
      </c>
      <c r="P6">
        <v>1.3</v>
      </c>
      <c r="Q6">
        <v>1.3</v>
      </c>
      <c r="R6">
        <v>8</v>
      </c>
      <c r="S6">
        <v>2.7</v>
      </c>
      <c r="T6">
        <v>2.7</v>
      </c>
      <c r="U6">
        <v>4.4000000000000004</v>
      </c>
      <c r="V6" t="s">
        <v>26</v>
      </c>
      <c r="W6">
        <v>0</v>
      </c>
      <c r="X6">
        <v>4.7</v>
      </c>
      <c r="Y6">
        <v>6.3</v>
      </c>
      <c r="AA6">
        <v>2</v>
      </c>
      <c r="AB6">
        <v>3</v>
      </c>
      <c r="AC6">
        <v>2.5</v>
      </c>
      <c r="AD6">
        <v>4</v>
      </c>
      <c r="AE6">
        <v>2.7</v>
      </c>
      <c r="AF6">
        <v>4.8</v>
      </c>
      <c r="AG6" t="s">
        <v>26</v>
      </c>
      <c r="AH6">
        <v>0</v>
      </c>
      <c r="AI6">
        <v>9.1</v>
      </c>
      <c r="AJ6">
        <v>8.6999999999999993</v>
      </c>
      <c r="AL6">
        <v>9</v>
      </c>
      <c r="AM6">
        <v>9</v>
      </c>
      <c r="AN6">
        <v>8</v>
      </c>
      <c r="AO6">
        <v>8</v>
      </c>
      <c r="AP6" t="s">
        <v>26</v>
      </c>
      <c r="AQ6">
        <v>0</v>
      </c>
      <c r="AR6">
        <v>9.5</v>
      </c>
      <c r="AS6">
        <v>9.3000000000000007</v>
      </c>
      <c r="AU6">
        <v>10</v>
      </c>
      <c r="AV6">
        <v>10</v>
      </c>
      <c r="AW6">
        <v>9.5</v>
      </c>
      <c r="AX6">
        <v>9.8000000000000007</v>
      </c>
      <c r="AY6">
        <v>9.5</v>
      </c>
      <c r="AZ6">
        <v>10</v>
      </c>
      <c r="BA6">
        <v>9.5</v>
      </c>
      <c r="BB6">
        <v>10</v>
      </c>
      <c r="BC6">
        <v>9.5</v>
      </c>
      <c r="BD6">
        <v>9.6</v>
      </c>
      <c r="BE6">
        <v>8.5</v>
      </c>
      <c r="BF6">
        <v>9</v>
      </c>
      <c r="BG6">
        <v>9</v>
      </c>
      <c r="BH6">
        <v>10</v>
      </c>
      <c r="BI6">
        <v>9.5</v>
      </c>
      <c r="BJ6">
        <v>9.5</v>
      </c>
    </row>
    <row r="7" spans="1:62" x14ac:dyDescent="0.35">
      <c r="A7" t="s">
        <v>542</v>
      </c>
      <c r="B7" t="s">
        <v>542</v>
      </c>
      <c r="C7" t="s">
        <v>402</v>
      </c>
      <c r="D7" t="s">
        <v>946</v>
      </c>
      <c r="E7" t="s">
        <v>543</v>
      </c>
      <c r="F7" t="s">
        <v>39</v>
      </c>
      <c r="G7" t="s">
        <v>60</v>
      </c>
      <c r="H7" t="s">
        <v>73</v>
      </c>
      <c r="I7">
        <v>0</v>
      </c>
      <c r="J7">
        <v>5.7</v>
      </c>
      <c r="K7" t="s">
        <v>605</v>
      </c>
      <c r="L7">
        <v>6</v>
      </c>
      <c r="M7">
        <v>6.4</v>
      </c>
      <c r="N7">
        <v>5.4</v>
      </c>
      <c r="O7" t="s">
        <v>605</v>
      </c>
      <c r="P7">
        <v>3.1</v>
      </c>
      <c r="Q7">
        <v>1.3</v>
      </c>
      <c r="R7">
        <v>0.8</v>
      </c>
      <c r="S7">
        <v>2.7</v>
      </c>
      <c r="T7">
        <v>5.6</v>
      </c>
      <c r="U7">
        <v>4.4000000000000004</v>
      </c>
      <c r="V7" t="s">
        <v>26</v>
      </c>
      <c r="W7">
        <v>0</v>
      </c>
      <c r="X7">
        <v>7.3</v>
      </c>
      <c r="Y7">
        <v>6.3</v>
      </c>
      <c r="Z7" t="s">
        <v>605</v>
      </c>
      <c r="AA7">
        <v>4.2</v>
      </c>
      <c r="AB7">
        <v>3</v>
      </c>
      <c r="AC7">
        <v>9.4</v>
      </c>
      <c r="AD7">
        <v>4</v>
      </c>
      <c r="AE7">
        <v>5.2</v>
      </c>
      <c r="AF7">
        <v>4.8</v>
      </c>
      <c r="AG7" t="s">
        <v>26</v>
      </c>
      <c r="AH7">
        <v>0</v>
      </c>
      <c r="AI7">
        <v>9.4</v>
      </c>
      <c r="AJ7">
        <v>8.6999999999999993</v>
      </c>
      <c r="AK7" t="s">
        <v>605</v>
      </c>
      <c r="AL7">
        <v>10</v>
      </c>
      <c r="AM7">
        <v>9</v>
      </c>
      <c r="AN7">
        <v>7</v>
      </c>
      <c r="AO7">
        <v>8</v>
      </c>
      <c r="AP7" t="s">
        <v>26</v>
      </c>
      <c r="AQ7">
        <v>0</v>
      </c>
      <c r="AR7">
        <v>9.4</v>
      </c>
      <c r="AS7">
        <v>9.3000000000000007</v>
      </c>
      <c r="AU7">
        <v>9.8000000000000007</v>
      </c>
      <c r="AV7">
        <v>10</v>
      </c>
      <c r="AW7">
        <v>8.5</v>
      </c>
      <c r="AX7">
        <v>9.8000000000000007</v>
      </c>
      <c r="AY7">
        <v>9.5</v>
      </c>
      <c r="AZ7">
        <v>10</v>
      </c>
      <c r="BA7">
        <v>9.5</v>
      </c>
      <c r="BB7">
        <v>10</v>
      </c>
      <c r="BC7">
        <v>9.5</v>
      </c>
      <c r="BD7">
        <v>9.6</v>
      </c>
      <c r="BE7">
        <v>8.5</v>
      </c>
      <c r="BF7">
        <v>9</v>
      </c>
      <c r="BG7">
        <v>9.3000000000000007</v>
      </c>
      <c r="BH7">
        <v>10</v>
      </c>
      <c r="BI7">
        <v>9.1999999999999993</v>
      </c>
      <c r="BJ7">
        <v>9.5</v>
      </c>
    </row>
    <row r="8" spans="1:62" x14ac:dyDescent="0.35">
      <c r="A8" t="s">
        <v>539</v>
      </c>
      <c r="B8" t="s">
        <v>539</v>
      </c>
      <c r="C8" t="s">
        <v>402</v>
      </c>
      <c r="D8" t="s">
        <v>947</v>
      </c>
      <c r="E8" t="s">
        <v>540</v>
      </c>
      <c r="F8" t="s">
        <v>57</v>
      </c>
      <c r="G8" t="s">
        <v>60</v>
      </c>
      <c r="H8" t="s">
        <v>73</v>
      </c>
      <c r="I8">
        <v>0</v>
      </c>
      <c r="J8">
        <v>4.0999999999999996</v>
      </c>
      <c r="L8">
        <v>26</v>
      </c>
      <c r="M8">
        <v>5.8</v>
      </c>
      <c r="N8">
        <v>5.4</v>
      </c>
      <c r="P8">
        <v>1.3</v>
      </c>
      <c r="Q8">
        <v>1.3</v>
      </c>
      <c r="R8">
        <v>4.8</v>
      </c>
      <c r="S8">
        <v>2.7</v>
      </c>
      <c r="T8">
        <v>3.8</v>
      </c>
      <c r="U8">
        <v>4.4000000000000004</v>
      </c>
      <c r="V8" t="s">
        <v>26</v>
      </c>
      <c r="W8">
        <v>0</v>
      </c>
      <c r="X8">
        <v>5.2</v>
      </c>
      <c r="Y8">
        <v>6.3</v>
      </c>
      <c r="AA8">
        <v>2.6</v>
      </c>
      <c r="AB8">
        <v>3</v>
      </c>
      <c r="AC8">
        <v>2.1</v>
      </c>
      <c r="AD8">
        <v>4</v>
      </c>
      <c r="AE8">
        <v>2.8</v>
      </c>
      <c r="AF8">
        <v>4.8</v>
      </c>
      <c r="AG8" t="s">
        <v>26</v>
      </c>
      <c r="AH8">
        <v>0</v>
      </c>
      <c r="AI8">
        <v>8.6999999999999993</v>
      </c>
      <c r="AJ8">
        <v>8.6999999999999993</v>
      </c>
      <c r="AL8">
        <v>9</v>
      </c>
      <c r="AM8">
        <v>9</v>
      </c>
      <c r="AN8">
        <v>7</v>
      </c>
      <c r="AO8">
        <v>8</v>
      </c>
      <c r="AP8" t="s">
        <v>26</v>
      </c>
      <c r="AQ8">
        <v>0</v>
      </c>
      <c r="AR8">
        <v>9</v>
      </c>
      <c r="AS8">
        <v>9.3000000000000007</v>
      </c>
      <c r="AU8">
        <v>9</v>
      </c>
      <c r="AV8">
        <v>10</v>
      </c>
      <c r="AW8">
        <v>9</v>
      </c>
      <c r="AX8">
        <v>9.8000000000000007</v>
      </c>
      <c r="AY8">
        <v>10</v>
      </c>
      <c r="AZ8">
        <v>10</v>
      </c>
      <c r="BA8">
        <v>10</v>
      </c>
      <c r="BB8">
        <v>10</v>
      </c>
      <c r="BC8">
        <v>9</v>
      </c>
      <c r="BD8">
        <v>9.6</v>
      </c>
      <c r="BE8">
        <v>10</v>
      </c>
      <c r="BF8">
        <v>9</v>
      </c>
      <c r="BG8">
        <v>9</v>
      </c>
      <c r="BH8">
        <v>10</v>
      </c>
      <c r="BI8">
        <v>9</v>
      </c>
      <c r="BJ8">
        <v>9.5</v>
      </c>
    </row>
    <row r="9" spans="1:62" x14ac:dyDescent="0.35">
      <c r="A9" t="s">
        <v>468</v>
      </c>
      <c r="B9" t="s">
        <v>468</v>
      </c>
      <c r="C9" t="s">
        <v>402</v>
      </c>
      <c r="D9" t="s">
        <v>948</v>
      </c>
      <c r="E9" t="s">
        <v>469</v>
      </c>
      <c r="F9" t="s">
        <v>57</v>
      </c>
      <c r="G9" t="s">
        <v>60</v>
      </c>
      <c r="H9" t="s">
        <v>73</v>
      </c>
      <c r="I9">
        <v>0</v>
      </c>
      <c r="J9">
        <v>3.5</v>
      </c>
      <c r="L9">
        <v>40</v>
      </c>
      <c r="M9">
        <v>5</v>
      </c>
      <c r="N9">
        <v>5.4</v>
      </c>
      <c r="P9">
        <v>0.3</v>
      </c>
      <c r="Q9">
        <v>1.3</v>
      </c>
      <c r="R9">
        <v>2.4</v>
      </c>
      <c r="S9">
        <v>2.7</v>
      </c>
      <c r="T9">
        <v>4.4000000000000004</v>
      </c>
      <c r="U9">
        <v>4.4000000000000004</v>
      </c>
      <c r="V9" t="s">
        <v>26</v>
      </c>
      <c r="W9">
        <v>0</v>
      </c>
      <c r="X9">
        <v>5.6</v>
      </c>
      <c r="Y9">
        <v>6.3</v>
      </c>
      <c r="AA9">
        <v>2.4</v>
      </c>
      <c r="AB9">
        <v>3</v>
      </c>
      <c r="AC9">
        <v>1.6</v>
      </c>
      <c r="AD9">
        <v>4</v>
      </c>
      <c r="AE9">
        <v>5.0999999999999996</v>
      </c>
      <c r="AF9">
        <v>4.8</v>
      </c>
      <c r="AG9" t="s">
        <v>26</v>
      </c>
      <c r="AH9">
        <v>0</v>
      </c>
      <c r="AI9">
        <v>8</v>
      </c>
      <c r="AJ9">
        <v>8.6999999999999993</v>
      </c>
      <c r="AL9">
        <v>8</v>
      </c>
      <c r="AM9">
        <v>9</v>
      </c>
      <c r="AN9">
        <v>7</v>
      </c>
      <c r="AO9">
        <v>8</v>
      </c>
      <c r="AP9" t="s">
        <v>26</v>
      </c>
      <c r="AQ9">
        <v>0</v>
      </c>
      <c r="AR9">
        <v>8.8000000000000007</v>
      </c>
      <c r="AS9">
        <v>9.3000000000000007</v>
      </c>
      <c r="AU9">
        <v>9</v>
      </c>
      <c r="AV9">
        <v>10</v>
      </c>
      <c r="AW9">
        <v>9</v>
      </c>
      <c r="AX9">
        <v>9.8000000000000007</v>
      </c>
      <c r="AY9">
        <v>9</v>
      </c>
      <c r="AZ9">
        <v>10</v>
      </c>
      <c r="BA9">
        <v>10</v>
      </c>
      <c r="BB9">
        <v>10</v>
      </c>
      <c r="BC9">
        <v>10</v>
      </c>
      <c r="BD9">
        <v>9.6</v>
      </c>
      <c r="BE9">
        <v>9</v>
      </c>
      <c r="BF9">
        <v>9</v>
      </c>
      <c r="BG9">
        <v>8</v>
      </c>
      <c r="BH9">
        <v>10</v>
      </c>
      <c r="BI9">
        <v>8</v>
      </c>
      <c r="BJ9">
        <v>9.5</v>
      </c>
    </row>
    <row r="10" spans="1:62" x14ac:dyDescent="0.35">
      <c r="A10" t="s">
        <v>505</v>
      </c>
      <c r="B10" t="s">
        <v>505</v>
      </c>
      <c r="C10" t="s">
        <v>402</v>
      </c>
      <c r="D10" t="s">
        <v>949</v>
      </c>
      <c r="E10" t="s">
        <v>506</v>
      </c>
      <c r="F10" t="s">
        <v>39</v>
      </c>
      <c r="G10" t="s">
        <v>60</v>
      </c>
      <c r="H10" t="s">
        <v>73</v>
      </c>
      <c r="I10">
        <v>0</v>
      </c>
      <c r="J10">
        <v>4.0999999999999996</v>
      </c>
      <c r="L10">
        <v>24</v>
      </c>
      <c r="M10">
        <v>5.4</v>
      </c>
      <c r="N10">
        <v>5.4</v>
      </c>
      <c r="P10">
        <v>1.9</v>
      </c>
      <c r="Q10">
        <v>1.3</v>
      </c>
      <c r="R10">
        <v>0.8</v>
      </c>
      <c r="S10">
        <v>2.7</v>
      </c>
      <c r="T10">
        <v>3.8</v>
      </c>
      <c r="U10">
        <v>4.4000000000000004</v>
      </c>
      <c r="V10" t="s">
        <v>26</v>
      </c>
      <c r="W10">
        <v>0</v>
      </c>
      <c r="X10">
        <v>6.3</v>
      </c>
      <c r="Y10">
        <v>6.3</v>
      </c>
      <c r="AA10">
        <v>0.2</v>
      </c>
      <c r="AB10">
        <v>3</v>
      </c>
      <c r="AC10">
        <v>1.6</v>
      </c>
      <c r="AD10">
        <v>4</v>
      </c>
      <c r="AE10">
        <v>6.7</v>
      </c>
      <c r="AF10">
        <v>4.8</v>
      </c>
      <c r="AG10" t="s">
        <v>26</v>
      </c>
      <c r="AH10">
        <v>0</v>
      </c>
      <c r="AI10">
        <v>8.6999999999999993</v>
      </c>
      <c r="AJ10">
        <v>8.6999999999999993</v>
      </c>
      <c r="AL10">
        <v>9</v>
      </c>
      <c r="AM10">
        <v>9</v>
      </c>
      <c r="AN10">
        <v>7</v>
      </c>
      <c r="AO10">
        <v>8</v>
      </c>
      <c r="AP10" t="s">
        <v>26</v>
      </c>
      <c r="AQ10">
        <v>0</v>
      </c>
      <c r="AR10">
        <v>8.5</v>
      </c>
      <c r="AS10">
        <v>9.3000000000000007</v>
      </c>
      <c r="AU10">
        <v>10</v>
      </c>
      <c r="AV10">
        <v>10</v>
      </c>
      <c r="AW10">
        <v>10</v>
      </c>
      <c r="AX10">
        <v>9.8000000000000007</v>
      </c>
      <c r="AY10">
        <v>10</v>
      </c>
      <c r="AZ10">
        <v>10</v>
      </c>
      <c r="BA10">
        <v>10</v>
      </c>
      <c r="BB10">
        <v>10</v>
      </c>
      <c r="BC10">
        <v>10</v>
      </c>
      <c r="BD10">
        <v>9.6</v>
      </c>
      <c r="BE10">
        <v>10</v>
      </c>
      <c r="BF10">
        <v>9</v>
      </c>
      <c r="BG10">
        <v>10</v>
      </c>
      <c r="BH10">
        <v>10</v>
      </c>
      <c r="BI10">
        <v>10</v>
      </c>
      <c r="BJ10">
        <v>9.5</v>
      </c>
    </row>
    <row r="11" spans="1:62" x14ac:dyDescent="0.35">
      <c r="A11" t="s">
        <v>129</v>
      </c>
      <c r="B11" t="s">
        <v>129</v>
      </c>
      <c r="C11" t="s">
        <v>402</v>
      </c>
      <c r="D11" t="s">
        <v>874</v>
      </c>
      <c r="E11" t="s">
        <v>131</v>
      </c>
      <c r="F11" t="s">
        <v>39</v>
      </c>
      <c r="G11" t="s">
        <v>23</v>
      </c>
      <c r="H11" t="s">
        <v>48</v>
      </c>
      <c r="I11" t="s">
        <v>875</v>
      </c>
      <c r="J11">
        <v>3.1</v>
      </c>
      <c r="L11">
        <v>48</v>
      </c>
      <c r="M11">
        <v>4.2</v>
      </c>
      <c r="N11">
        <v>5.4</v>
      </c>
      <c r="P11">
        <v>0.9</v>
      </c>
      <c r="Q11">
        <v>1.3</v>
      </c>
      <c r="R11">
        <v>0</v>
      </c>
      <c r="S11">
        <v>2.7</v>
      </c>
      <c r="T11">
        <v>3.4</v>
      </c>
      <c r="U11">
        <v>4.4000000000000004</v>
      </c>
      <c r="V11" t="s">
        <v>26</v>
      </c>
      <c r="W11">
        <v>0</v>
      </c>
      <c r="X11">
        <v>6.4</v>
      </c>
      <c r="Y11">
        <v>6.3</v>
      </c>
      <c r="AA11">
        <v>1.4</v>
      </c>
      <c r="AB11">
        <v>3</v>
      </c>
      <c r="AC11">
        <v>1.6</v>
      </c>
      <c r="AD11">
        <v>4</v>
      </c>
      <c r="AE11">
        <v>7.3</v>
      </c>
      <c r="AF11">
        <v>4.8</v>
      </c>
      <c r="AG11" t="s">
        <v>26</v>
      </c>
      <c r="AH11">
        <v>0</v>
      </c>
      <c r="AI11">
        <v>8.1999999999999993</v>
      </c>
      <c r="AJ11">
        <v>8.6999999999999993</v>
      </c>
      <c r="AL11">
        <v>8</v>
      </c>
      <c r="AM11">
        <v>9</v>
      </c>
      <c r="AN11">
        <v>8</v>
      </c>
      <c r="AO11">
        <v>8</v>
      </c>
      <c r="AP11" t="s">
        <v>26</v>
      </c>
      <c r="AQ11">
        <v>0</v>
      </c>
      <c r="AR11" t="s">
        <v>26</v>
      </c>
      <c r="AS11">
        <v>9.3000000000000007</v>
      </c>
      <c r="AU11" t="s">
        <v>26</v>
      </c>
      <c r="AV11">
        <v>10</v>
      </c>
      <c r="AW11" t="s">
        <v>26</v>
      </c>
      <c r="AX11">
        <v>9.8000000000000007</v>
      </c>
      <c r="AY11" t="s">
        <v>26</v>
      </c>
      <c r="AZ11">
        <v>10</v>
      </c>
      <c r="BA11" t="s">
        <v>26</v>
      </c>
      <c r="BB11">
        <v>10</v>
      </c>
      <c r="BC11" t="s">
        <v>26</v>
      </c>
      <c r="BD11">
        <v>9.6</v>
      </c>
      <c r="BE11" t="s">
        <v>26</v>
      </c>
      <c r="BF11">
        <v>9</v>
      </c>
      <c r="BG11" t="s">
        <v>26</v>
      </c>
      <c r="BH11">
        <v>10</v>
      </c>
      <c r="BI11" t="s">
        <v>26</v>
      </c>
      <c r="BJ11">
        <v>9.5</v>
      </c>
    </row>
    <row r="12" spans="1:62" x14ac:dyDescent="0.35">
      <c r="A12" t="s">
        <v>508</v>
      </c>
      <c r="B12" t="s">
        <v>508</v>
      </c>
      <c r="C12" t="s">
        <v>402</v>
      </c>
      <c r="D12" t="s">
        <v>950</v>
      </c>
      <c r="E12" t="s">
        <v>509</v>
      </c>
      <c r="F12" t="s">
        <v>57</v>
      </c>
      <c r="G12" t="s">
        <v>23</v>
      </c>
      <c r="H12" t="s">
        <v>48</v>
      </c>
      <c r="I12">
        <v>0</v>
      </c>
      <c r="J12">
        <v>2.8</v>
      </c>
      <c r="L12">
        <v>50</v>
      </c>
      <c r="M12">
        <v>5.2</v>
      </c>
      <c r="N12">
        <v>5.4</v>
      </c>
      <c r="P12">
        <v>0.9</v>
      </c>
      <c r="Q12">
        <v>1.3</v>
      </c>
      <c r="R12">
        <v>2.1</v>
      </c>
      <c r="S12">
        <v>2.7</v>
      </c>
      <c r="T12">
        <v>5.8</v>
      </c>
      <c r="U12">
        <v>4.4000000000000004</v>
      </c>
      <c r="V12" t="s">
        <v>26</v>
      </c>
      <c r="W12">
        <v>0</v>
      </c>
      <c r="X12">
        <v>4.8</v>
      </c>
      <c r="Y12">
        <v>6.3</v>
      </c>
      <c r="AA12">
        <v>2.8</v>
      </c>
      <c r="AB12">
        <v>3</v>
      </c>
      <c r="AC12">
        <v>4.3</v>
      </c>
      <c r="AD12">
        <v>4</v>
      </c>
      <c r="AE12">
        <v>1.7</v>
      </c>
      <c r="AF12">
        <v>4.8</v>
      </c>
      <c r="AG12" t="s">
        <v>26</v>
      </c>
      <c r="AH12">
        <v>0</v>
      </c>
      <c r="AI12">
        <v>8.1999999999999993</v>
      </c>
      <c r="AJ12">
        <v>8.6999999999999993</v>
      </c>
      <c r="AL12">
        <v>8</v>
      </c>
      <c r="AM12">
        <v>9</v>
      </c>
      <c r="AN12">
        <v>8</v>
      </c>
      <c r="AO12">
        <v>8</v>
      </c>
      <c r="AP12" t="s">
        <v>26</v>
      </c>
      <c r="AQ12">
        <v>0</v>
      </c>
      <c r="AR12" t="s">
        <v>26</v>
      </c>
      <c r="AS12">
        <v>9.3000000000000007</v>
      </c>
      <c r="AU12" t="s">
        <v>26</v>
      </c>
      <c r="AV12">
        <v>10</v>
      </c>
      <c r="AW12" t="s">
        <v>26</v>
      </c>
      <c r="AX12">
        <v>9.8000000000000007</v>
      </c>
      <c r="AY12" t="s">
        <v>26</v>
      </c>
      <c r="AZ12">
        <v>10</v>
      </c>
      <c r="BA12" t="s">
        <v>26</v>
      </c>
      <c r="BB12">
        <v>10</v>
      </c>
      <c r="BC12" t="s">
        <v>26</v>
      </c>
      <c r="BD12">
        <v>9.6</v>
      </c>
      <c r="BE12" t="s">
        <v>26</v>
      </c>
      <c r="BF12">
        <v>9</v>
      </c>
      <c r="BG12" t="s">
        <v>26</v>
      </c>
      <c r="BH12">
        <v>10</v>
      </c>
      <c r="BI12" t="s">
        <v>26</v>
      </c>
      <c r="BJ12">
        <v>9.5</v>
      </c>
    </row>
    <row r="13" spans="1:62" x14ac:dyDescent="0.35">
      <c r="A13" t="s">
        <v>485</v>
      </c>
      <c r="B13" t="s">
        <v>485</v>
      </c>
      <c r="C13" t="s">
        <v>402</v>
      </c>
      <c r="D13" t="s">
        <v>951</v>
      </c>
      <c r="E13" t="s">
        <v>486</v>
      </c>
      <c r="F13" t="s">
        <v>57</v>
      </c>
      <c r="G13" t="s">
        <v>60</v>
      </c>
      <c r="H13" t="s">
        <v>48</v>
      </c>
      <c r="I13">
        <v>0</v>
      </c>
      <c r="J13">
        <v>4.0999999999999996</v>
      </c>
      <c r="L13">
        <v>25</v>
      </c>
      <c r="M13">
        <v>5.2</v>
      </c>
      <c r="N13">
        <v>5.4</v>
      </c>
      <c r="P13">
        <v>1.9</v>
      </c>
      <c r="Q13">
        <v>1.3</v>
      </c>
      <c r="R13">
        <v>0.8</v>
      </c>
      <c r="S13">
        <v>2.7</v>
      </c>
      <c r="T13">
        <v>3.8</v>
      </c>
      <c r="U13">
        <v>4.4000000000000004</v>
      </c>
      <c r="V13" t="s">
        <v>26</v>
      </c>
      <c r="W13">
        <v>0</v>
      </c>
      <c r="X13">
        <v>6.4</v>
      </c>
      <c r="Y13">
        <v>6.3</v>
      </c>
      <c r="AA13">
        <v>1.4</v>
      </c>
      <c r="AB13">
        <v>3</v>
      </c>
      <c r="AC13">
        <v>3.2</v>
      </c>
      <c r="AD13">
        <v>4</v>
      </c>
      <c r="AE13">
        <v>6.7</v>
      </c>
      <c r="AF13">
        <v>4.8</v>
      </c>
      <c r="AG13" t="s">
        <v>26</v>
      </c>
      <c r="AH13">
        <v>0</v>
      </c>
      <c r="AI13">
        <v>8.1999999999999993</v>
      </c>
      <c r="AJ13">
        <v>8.6999999999999993</v>
      </c>
      <c r="AL13">
        <v>8</v>
      </c>
      <c r="AM13">
        <v>9</v>
      </c>
      <c r="AN13">
        <v>8</v>
      </c>
      <c r="AO13">
        <v>8</v>
      </c>
      <c r="AP13" t="s">
        <v>26</v>
      </c>
      <c r="AQ13">
        <v>0</v>
      </c>
      <c r="AR13">
        <v>9.8000000000000007</v>
      </c>
      <c r="AS13">
        <v>9.3000000000000007</v>
      </c>
      <c r="AU13">
        <v>10</v>
      </c>
      <c r="AV13">
        <v>10</v>
      </c>
      <c r="AW13">
        <v>9.3000000000000007</v>
      </c>
      <c r="AX13">
        <v>9.8000000000000007</v>
      </c>
      <c r="AY13">
        <v>10</v>
      </c>
      <c r="AZ13">
        <v>10</v>
      </c>
      <c r="BA13">
        <v>10</v>
      </c>
      <c r="BB13">
        <v>10</v>
      </c>
      <c r="BC13">
        <v>10</v>
      </c>
      <c r="BD13">
        <v>9.6</v>
      </c>
      <c r="BE13">
        <v>9.3000000000000007</v>
      </c>
      <c r="BF13">
        <v>9</v>
      </c>
      <c r="BG13">
        <v>10</v>
      </c>
      <c r="BH13">
        <v>10</v>
      </c>
      <c r="BI13">
        <v>9.3000000000000007</v>
      </c>
      <c r="BJ13">
        <v>9.5</v>
      </c>
    </row>
    <row r="14" spans="1:62" x14ac:dyDescent="0.35">
      <c r="A14" t="s">
        <v>498</v>
      </c>
      <c r="B14" t="s">
        <v>498</v>
      </c>
      <c r="C14" t="s">
        <v>402</v>
      </c>
      <c r="D14" t="s">
        <v>952</v>
      </c>
      <c r="E14" t="s">
        <v>499</v>
      </c>
      <c r="F14" t="s">
        <v>24</v>
      </c>
      <c r="G14" t="s">
        <v>60</v>
      </c>
      <c r="H14" t="s">
        <v>48</v>
      </c>
      <c r="I14">
        <v>0</v>
      </c>
      <c r="J14">
        <v>4.3</v>
      </c>
      <c r="L14">
        <v>19</v>
      </c>
      <c r="M14">
        <v>6.2</v>
      </c>
      <c r="N14">
        <v>5.4</v>
      </c>
      <c r="P14">
        <v>1.3</v>
      </c>
      <c r="Q14">
        <v>1.3</v>
      </c>
      <c r="R14">
        <v>6.9</v>
      </c>
      <c r="S14">
        <v>2.7</v>
      </c>
      <c r="T14">
        <v>4.9000000000000004</v>
      </c>
      <c r="U14">
        <v>4.4000000000000004</v>
      </c>
      <c r="V14" t="s">
        <v>26</v>
      </c>
      <c r="W14">
        <v>0</v>
      </c>
      <c r="X14">
        <v>5.8</v>
      </c>
      <c r="Y14">
        <v>6.3</v>
      </c>
      <c r="AA14">
        <v>4.4000000000000004</v>
      </c>
      <c r="AB14">
        <v>3</v>
      </c>
      <c r="AC14">
        <v>3.8</v>
      </c>
      <c r="AD14">
        <v>4</v>
      </c>
      <c r="AE14">
        <v>3.9</v>
      </c>
      <c r="AF14">
        <v>4.8</v>
      </c>
      <c r="AG14" t="s">
        <v>26</v>
      </c>
      <c r="AH14">
        <v>0</v>
      </c>
      <c r="AI14">
        <v>7.5</v>
      </c>
      <c r="AJ14">
        <v>8.6999999999999993</v>
      </c>
      <c r="AL14">
        <v>7</v>
      </c>
      <c r="AM14">
        <v>9</v>
      </c>
      <c r="AN14">
        <v>8</v>
      </c>
      <c r="AO14">
        <v>8</v>
      </c>
      <c r="AP14" t="s">
        <v>26</v>
      </c>
      <c r="AQ14">
        <v>0</v>
      </c>
      <c r="AR14">
        <v>9.3000000000000007</v>
      </c>
      <c r="AS14">
        <v>9.3000000000000007</v>
      </c>
      <c r="AU14">
        <v>10</v>
      </c>
      <c r="AV14">
        <v>10</v>
      </c>
      <c r="AW14">
        <v>10</v>
      </c>
      <c r="AX14">
        <v>9.8000000000000007</v>
      </c>
      <c r="AY14">
        <v>10</v>
      </c>
      <c r="AZ14">
        <v>10</v>
      </c>
      <c r="BA14">
        <v>9</v>
      </c>
      <c r="BB14">
        <v>10</v>
      </c>
      <c r="BC14">
        <v>10</v>
      </c>
      <c r="BD14">
        <v>9.6</v>
      </c>
      <c r="BE14">
        <v>10</v>
      </c>
      <c r="BF14">
        <v>9</v>
      </c>
      <c r="BG14">
        <v>10</v>
      </c>
      <c r="BH14">
        <v>10</v>
      </c>
      <c r="BI14">
        <v>9</v>
      </c>
      <c r="BJ14">
        <v>9.5</v>
      </c>
    </row>
    <row r="15" spans="1:62" x14ac:dyDescent="0.35">
      <c r="A15" t="s">
        <v>446</v>
      </c>
      <c r="B15" t="s">
        <v>446</v>
      </c>
      <c r="C15" t="s">
        <v>402</v>
      </c>
      <c r="D15" t="s">
        <v>953</v>
      </c>
      <c r="E15" t="s">
        <v>447</v>
      </c>
      <c r="F15" t="s">
        <v>39</v>
      </c>
      <c r="G15" t="s">
        <v>23</v>
      </c>
      <c r="H15" t="s">
        <v>48</v>
      </c>
      <c r="I15">
        <v>0</v>
      </c>
      <c r="J15">
        <v>4.3</v>
      </c>
      <c r="L15">
        <v>18</v>
      </c>
      <c r="M15">
        <v>6.1</v>
      </c>
      <c r="N15">
        <v>5.4</v>
      </c>
      <c r="P15">
        <v>2.5</v>
      </c>
      <c r="Q15">
        <v>1.3</v>
      </c>
      <c r="R15">
        <v>3.8</v>
      </c>
      <c r="S15">
        <v>2.7</v>
      </c>
      <c r="T15">
        <v>8.6</v>
      </c>
      <c r="U15">
        <v>4.4000000000000004</v>
      </c>
      <c r="V15" t="s">
        <v>26</v>
      </c>
      <c r="W15">
        <v>0</v>
      </c>
      <c r="X15">
        <v>5.7</v>
      </c>
      <c r="Y15">
        <v>6.3</v>
      </c>
      <c r="AA15">
        <v>2</v>
      </c>
      <c r="AB15">
        <v>3</v>
      </c>
      <c r="AC15">
        <v>6.9</v>
      </c>
      <c r="AD15">
        <v>4</v>
      </c>
      <c r="AE15">
        <v>3.4</v>
      </c>
      <c r="AF15">
        <v>4.8</v>
      </c>
      <c r="AG15" t="s">
        <v>26</v>
      </c>
      <c r="AH15">
        <v>0</v>
      </c>
      <c r="AI15">
        <v>8.1999999999999993</v>
      </c>
      <c r="AJ15">
        <v>8.6999999999999993</v>
      </c>
      <c r="AL15">
        <v>8</v>
      </c>
      <c r="AM15">
        <v>9</v>
      </c>
      <c r="AN15">
        <v>8</v>
      </c>
      <c r="AO15">
        <v>8</v>
      </c>
      <c r="AP15" t="s">
        <v>26</v>
      </c>
      <c r="AQ15">
        <v>0</v>
      </c>
      <c r="AR15">
        <v>9.1999999999999993</v>
      </c>
      <c r="AS15">
        <v>9.3000000000000007</v>
      </c>
      <c r="AU15">
        <v>9</v>
      </c>
      <c r="AV15">
        <v>10</v>
      </c>
      <c r="AW15">
        <v>9</v>
      </c>
      <c r="AX15">
        <v>9.8000000000000007</v>
      </c>
      <c r="AY15">
        <v>10</v>
      </c>
      <c r="AZ15">
        <v>10</v>
      </c>
      <c r="BA15">
        <v>10</v>
      </c>
      <c r="BB15">
        <v>10</v>
      </c>
      <c r="BC15">
        <v>10</v>
      </c>
      <c r="BD15">
        <v>9.6</v>
      </c>
      <c r="BE15">
        <v>9</v>
      </c>
      <c r="BF15">
        <v>9</v>
      </c>
      <c r="BG15">
        <v>10</v>
      </c>
      <c r="BH15">
        <v>10</v>
      </c>
      <c r="BI15">
        <v>10</v>
      </c>
      <c r="BJ15">
        <v>9.5</v>
      </c>
    </row>
    <row r="16" spans="1:62" x14ac:dyDescent="0.35">
      <c r="A16" t="s">
        <v>132</v>
      </c>
      <c r="B16" t="s">
        <v>132</v>
      </c>
      <c r="C16" t="s">
        <v>402</v>
      </c>
      <c r="D16" t="s">
        <v>954</v>
      </c>
      <c r="E16" t="s">
        <v>133</v>
      </c>
      <c r="F16" t="s">
        <v>39</v>
      </c>
      <c r="G16" t="s">
        <v>23</v>
      </c>
      <c r="H16" t="s">
        <v>48</v>
      </c>
      <c r="I16" t="s">
        <v>782</v>
      </c>
      <c r="J16">
        <v>3.6</v>
      </c>
      <c r="L16">
        <v>35</v>
      </c>
      <c r="M16">
        <v>5.5</v>
      </c>
      <c r="N16">
        <v>5.4</v>
      </c>
      <c r="P16">
        <v>1.3</v>
      </c>
      <c r="Q16">
        <v>1.3</v>
      </c>
      <c r="R16">
        <v>2.7</v>
      </c>
      <c r="S16">
        <v>2.7</v>
      </c>
      <c r="T16">
        <v>4.4000000000000004</v>
      </c>
      <c r="U16">
        <v>4.4000000000000004</v>
      </c>
      <c r="V16" t="s">
        <v>26</v>
      </c>
      <c r="W16">
        <v>0</v>
      </c>
      <c r="X16">
        <v>5</v>
      </c>
      <c r="Y16">
        <v>6.3</v>
      </c>
      <c r="AA16">
        <v>2.6</v>
      </c>
      <c r="AB16">
        <v>3</v>
      </c>
      <c r="AC16">
        <v>2.1</v>
      </c>
      <c r="AD16">
        <v>4</v>
      </c>
      <c r="AE16">
        <v>3.2</v>
      </c>
      <c r="AF16">
        <v>4.8</v>
      </c>
      <c r="AG16" t="s">
        <v>26</v>
      </c>
      <c r="AH16">
        <v>0</v>
      </c>
      <c r="AI16">
        <v>8.1999999999999993</v>
      </c>
      <c r="AJ16">
        <v>8.6999999999999993</v>
      </c>
      <c r="AL16">
        <v>8</v>
      </c>
      <c r="AM16">
        <v>9</v>
      </c>
      <c r="AN16">
        <v>8</v>
      </c>
      <c r="AO16">
        <v>8</v>
      </c>
      <c r="AP16" t="s">
        <v>26</v>
      </c>
      <c r="AQ16">
        <v>0</v>
      </c>
      <c r="AR16">
        <v>8.6999999999999993</v>
      </c>
      <c r="AS16">
        <v>9.3000000000000007</v>
      </c>
      <c r="AU16">
        <v>10</v>
      </c>
      <c r="AV16">
        <v>10</v>
      </c>
      <c r="AW16">
        <v>9</v>
      </c>
      <c r="AX16">
        <v>9.8000000000000007</v>
      </c>
      <c r="AY16">
        <v>10</v>
      </c>
      <c r="AZ16">
        <v>10</v>
      </c>
      <c r="BA16">
        <v>10</v>
      </c>
      <c r="BB16">
        <v>10</v>
      </c>
      <c r="BC16">
        <v>8</v>
      </c>
      <c r="BD16">
        <v>9.6</v>
      </c>
      <c r="BE16">
        <v>7</v>
      </c>
      <c r="BF16">
        <v>9</v>
      </c>
      <c r="BG16">
        <v>10</v>
      </c>
      <c r="BH16">
        <v>10</v>
      </c>
      <c r="BI16">
        <v>7</v>
      </c>
      <c r="BJ16">
        <v>9.5</v>
      </c>
    </row>
    <row r="17" spans="1:62" x14ac:dyDescent="0.35">
      <c r="A17" t="s">
        <v>501</v>
      </c>
      <c r="B17" t="s">
        <v>501</v>
      </c>
      <c r="C17" t="s">
        <v>402</v>
      </c>
      <c r="D17" t="s">
        <v>955</v>
      </c>
      <c r="E17" t="s">
        <v>502</v>
      </c>
      <c r="F17" t="s">
        <v>57</v>
      </c>
      <c r="G17" t="s">
        <v>503</v>
      </c>
      <c r="H17" t="s">
        <v>48</v>
      </c>
      <c r="I17">
        <v>0</v>
      </c>
      <c r="J17">
        <v>6.5</v>
      </c>
      <c r="K17" t="s">
        <v>662</v>
      </c>
      <c r="L17">
        <v>3</v>
      </c>
      <c r="M17">
        <v>8.1</v>
      </c>
      <c r="N17">
        <v>5.4</v>
      </c>
      <c r="O17" t="s">
        <v>662</v>
      </c>
      <c r="P17">
        <v>6.3</v>
      </c>
      <c r="Q17">
        <v>1.3</v>
      </c>
      <c r="R17">
        <v>6</v>
      </c>
      <c r="S17">
        <v>2.7</v>
      </c>
      <c r="T17">
        <v>2.7</v>
      </c>
      <c r="U17">
        <v>4.4000000000000004</v>
      </c>
      <c r="V17" t="s">
        <v>26</v>
      </c>
      <c r="W17">
        <v>0</v>
      </c>
      <c r="X17">
        <v>8</v>
      </c>
      <c r="Y17">
        <v>6.3</v>
      </c>
      <c r="Z17" t="s">
        <v>608</v>
      </c>
      <c r="AA17">
        <v>2.8</v>
      </c>
      <c r="AB17">
        <v>3</v>
      </c>
      <c r="AC17">
        <v>4.0999999999999996</v>
      </c>
      <c r="AD17">
        <v>4</v>
      </c>
      <c r="AE17">
        <v>9.6</v>
      </c>
      <c r="AF17">
        <v>4.8</v>
      </c>
      <c r="AG17" t="s">
        <v>26</v>
      </c>
      <c r="AH17">
        <v>0</v>
      </c>
      <c r="AI17">
        <v>8.1999999999999993</v>
      </c>
      <c r="AJ17">
        <v>8.6999999999999993</v>
      </c>
      <c r="AL17">
        <v>8</v>
      </c>
      <c r="AM17">
        <v>9</v>
      </c>
      <c r="AN17">
        <v>8</v>
      </c>
      <c r="AO17">
        <v>8</v>
      </c>
      <c r="AP17" t="s">
        <v>26</v>
      </c>
      <c r="AQ17">
        <v>0</v>
      </c>
      <c r="AR17">
        <v>8.1</v>
      </c>
      <c r="AS17">
        <v>9.3000000000000007</v>
      </c>
      <c r="AU17">
        <v>10</v>
      </c>
      <c r="AV17">
        <v>10</v>
      </c>
      <c r="AW17">
        <v>10</v>
      </c>
      <c r="AX17">
        <v>9.8000000000000007</v>
      </c>
      <c r="AY17">
        <v>10</v>
      </c>
      <c r="AZ17">
        <v>10</v>
      </c>
      <c r="BA17">
        <v>10</v>
      </c>
      <c r="BB17">
        <v>10</v>
      </c>
      <c r="BC17">
        <v>8</v>
      </c>
      <c r="BD17">
        <v>9.6</v>
      </c>
      <c r="BE17">
        <v>8</v>
      </c>
      <c r="BF17">
        <v>9</v>
      </c>
      <c r="BG17">
        <v>10</v>
      </c>
      <c r="BH17">
        <v>10</v>
      </c>
      <c r="BI17">
        <v>10</v>
      </c>
      <c r="BJ17">
        <v>9.5</v>
      </c>
    </row>
    <row r="18" spans="1:62" x14ac:dyDescent="0.35">
      <c r="A18" t="s">
        <v>551</v>
      </c>
      <c r="B18" t="s">
        <v>551</v>
      </c>
      <c r="C18" t="s">
        <v>402</v>
      </c>
      <c r="D18" t="s">
        <v>956</v>
      </c>
      <c r="E18" t="s">
        <v>552</v>
      </c>
      <c r="F18" t="s">
        <v>57</v>
      </c>
      <c r="G18" t="s">
        <v>23</v>
      </c>
      <c r="H18" t="s">
        <v>306</v>
      </c>
      <c r="I18">
        <v>0</v>
      </c>
      <c r="J18">
        <v>3.5</v>
      </c>
      <c r="L18">
        <v>39</v>
      </c>
      <c r="M18">
        <v>5.0999999999999996</v>
      </c>
      <c r="N18">
        <v>5.4</v>
      </c>
      <c r="P18">
        <v>0</v>
      </c>
      <c r="Q18">
        <v>1.3</v>
      </c>
      <c r="R18">
        <v>3.6</v>
      </c>
      <c r="S18">
        <v>2.7</v>
      </c>
      <c r="T18">
        <v>0</v>
      </c>
      <c r="U18">
        <v>4.4000000000000004</v>
      </c>
      <c r="V18" t="s">
        <v>26</v>
      </c>
      <c r="W18">
        <v>0</v>
      </c>
      <c r="X18">
        <v>5.8</v>
      </c>
      <c r="Y18">
        <v>6.3</v>
      </c>
      <c r="AA18">
        <v>10</v>
      </c>
      <c r="AB18">
        <v>3</v>
      </c>
      <c r="AC18">
        <v>2.1</v>
      </c>
      <c r="AD18">
        <v>4</v>
      </c>
      <c r="AE18">
        <v>2.2000000000000002</v>
      </c>
      <c r="AF18">
        <v>4.8</v>
      </c>
      <c r="AG18" t="s">
        <v>26</v>
      </c>
      <c r="AH18">
        <v>0</v>
      </c>
      <c r="AI18">
        <v>6.5</v>
      </c>
      <c r="AJ18">
        <v>8.6999999999999993</v>
      </c>
      <c r="AL18">
        <v>6</v>
      </c>
      <c r="AM18">
        <v>9</v>
      </c>
      <c r="AN18">
        <v>7</v>
      </c>
      <c r="AO18">
        <v>8</v>
      </c>
      <c r="AP18" t="s">
        <v>26</v>
      </c>
      <c r="AQ18">
        <v>0</v>
      </c>
      <c r="AR18">
        <v>10</v>
      </c>
      <c r="AS18">
        <v>9.3000000000000007</v>
      </c>
      <c r="AT18" t="s">
        <v>622</v>
      </c>
      <c r="AU18">
        <v>10</v>
      </c>
      <c r="AV18">
        <v>10</v>
      </c>
      <c r="AW18">
        <v>10</v>
      </c>
      <c r="AX18">
        <v>9.8000000000000007</v>
      </c>
      <c r="AY18">
        <v>10</v>
      </c>
      <c r="AZ18">
        <v>10</v>
      </c>
      <c r="BA18">
        <v>9.5</v>
      </c>
      <c r="BB18">
        <v>10</v>
      </c>
      <c r="BC18">
        <v>10</v>
      </c>
      <c r="BD18">
        <v>9.6</v>
      </c>
      <c r="BE18">
        <v>10</v>
      </c>
      <c r="BF18">
        <v>9</v>
      </c>
      <c r="BG18">
        <v>10</v>
      </c>
      <c r="BH18">
        <v>10</v>
      </c>
      <c r="BI18">
        <v>10</v>
      </c>
      <c r="BJ18">
        <v>9.5</v>
      </c>
    </row>
    <row r="19" spans="1:62" x14ac:dyDescent="0.35">
      <c r="A19" t="s">
        <v>461</v>
      </c>
      <c r="B19" t="s">
        <v>461</v>
      </c>
      <c r="C19" t="s">
        <v>402</v>
      </c>
      <c r="D19" t="s">
        <v>957</v>
      </c>
      <c r="E19" t="s">
        <v>462</v>
      </c>
      <c r="F19" t="s">
        <v>39</v>
      </c>
      <c r="G19" t="s">
        <v>23</v>
      </c>
      <c r="H19" t="s">
        <v>306</v>
      </c>
      <c r="I19">
        <v>0</v>
      </c>
      <c r="J19">
        <v>3.5</v>
      </c>
      <c r="L19">
        <v>42</v>
      </c>
      <c r="M19">
        <v>3.9</v>
      </c>
      <c r="N19">
        <v>5.4</v>
      </c>
      <c r="P19">
        <v>0.3</v>
      </c>
      <c r="Q19">
        <v>1.3</v>
      </c>
      <c r="R19">
        <v>1</v>
      </c>
      <c r="S19">
        <v>2.7</v>
      </c>
      <c r="T19">
        <v>5.6</v>
      </c>
      <c r="U19">
        <v>4.4000000000000004</v>
      </c>
      <c r="V19" t="s">
        <v>26</v>
      </c>
      <c r="W19">
        <v>0</v>
      </c>
      <c r="X19">
        <v>6.6</v>
      </c>
      <c r="Y19">
        <v>6.3</v>
      </c>
      <c r="AA19">
        <v>8.4</v>
      </c>
      <c r="AB19">
        <v>3</v>
      </c>
      <c r="AC19">
        <v>2.5</v>
      </c>
      <c r="AD19">
        <v>4</v>
      </c>
      <c r="AE19">
        <v>4.7</v>
      </c>
      <c r="AF19">
        <v>4.8</v>
      </c>
      <c r="AG19" t="s">
        <v>26</v>
      </c>
      <c r="AH19">
        <v>0</v>
      </c>
      <c r="AI19">
        <v>6.5</v>
      </c>
      <c r="AJ19">
        <v>8.6999999999999993</v>
      </c>
      <c r="AL19">
        <v>7</v>
      </c>
      <c r="AM19">
        <v>9</v>
      </c>
      <c r="AN19">
        <v>7</v>
      </c>
      <c r="AO19">
        <v>8</v>
      </c>
      <c r="AP19" t="s">
        <v>26</v>
      </c>
      <c r="AQ19">
        <v>0</v>
      </c>
      <c r="AR19">
        <v>9.6</v>
      </c>
      <c r="AS19">
        <v>9.3000000000000007</v>
      </c>
      <c r="AU19">
        <v>9.3000000000000007</v>
      </c>
      <c r="AV19">
        <v>10</v>
      </c>
      <c r="AW19">
        <v>9.3000000000000007</v>
      </c>
      <c r="AX19">
        <v>9.8000000000000007</v>
      </c>
      <c r="AY19">
        <v>10</v>
      </c>
      <c r="AZ19">
        <v>10</v>
      </c>
      <c r="BA19">
        <v>10</v>
      </c>
      <c r="BB19">
        <v>10</v>
      </c>
      <c r="BC19">
        <v>9.3000000000000007</v>
      </c>
      <c r="BD19">
        <v>9.6</v>
      </c>
      <c r="BE19">
        <v>9.3000000000000007</v>
      </c>
      <c r="BF19">
        <v>9</v>
      </c>
      <c r="BG19">
        <v>9.3000000000000007</v>
      </c>
      <c r="BH19">
        <v>10</v>
      </c>
      <c r="BI19">
        <v>9.3000000000000007</v>
      </c>
      <c r="BJ19">
        <v>9.5</v>
      </c>
    </row>
    <row r="20" spans="1:62" x14ac:dyDescent="0.35">
      <c r="A20" t="s">
        <v>532</v>
      </c>
      <c r="B20" t="s">
        <v>532</v>
      </c>
      <c r="C20" t="s">
        <v>402</v>
      </c>
      <c r="D20" t="s">
        <v>958</v>
      </c>
      <c r="E20" t="s">
        <v>533</v>
      </c>
      <c r="F20" t="s">
        <v>39</v>
      </c>
      <c r="G20" t="s">
        <v>23</v>
      </c>
      <c r="H20" t="s">
        <v>42</v>
      </c>
      <c r="I20">
        <v>0</v>
      </c>
      <c r="J20">
        <v>2.9</v>
      </c>
      <c r="L20">
        <v>49</v>
      </c>
      <c r="M20">
        <v>4.8</v>
      </c>
      <c r="N20">
        <v>5.4</v>
      </c>
      <c r="P20">
        <v>0.9</v>
      </c>
      <c r="Q20">
        <v>1.3</v>
      </c>
      <c r="R20">
        <v>0.6</v>
      </c>
      <c r="S20">
        <v>2.7</v>
      </c>
      <c r="T20">
        <v>7.1</v>
      </c>
      <c r="U20">
        <v>4.4000000000000004</v>
      </c>
      <c r="V20" t="s">
        <v>26</v>
      </c>
      <c r="W20">
        <v>0</v>
      </c>
      <c r="X20">
        <v>6.4</v>
      </c>
      <c r="Y20">
        <v>6.3</v>
      </c>
      <c r="AA20">
        <v>7.6</v>
      </c>
      <c r="AB20">
        <v>3</v>
      </c>
      <c r="AC20">
        <v>2.1</v>
      </c>
      <c r="AD20">
        <v>4</v>
      </c>
      <c r="AE20">
        <v>3.7</v>
      </c>
      <c r="AF20">
        <v>4.8</v>
      </c>
      <c r="AG20" t="s">
        <v>26</v>
      </c>
      <c r="AH20">
        <v>0</v>
      </c>
      <c r="AI20">
        <v>6.5</v>
      </c>
      <c r="AJ20">
        <v>8.6999999999999993</v>
      </c>
      <c r="AL20">
        <v>6</v>
      </c>
      <c r="AM20">
        <v>9</v>
      </c>
      <c r="AN20">
        <v>7</v>
      </c>
      <c r="AO20">
        <v>8</v>
      </c>
      <c r="AP20" t="s">
        <v>26</v>
      </c>
      <c r="AQ20">
        <v>0</v>
      </c>
      <c r="AR20" t="s">
        <v>26</v>
      </c>
      <c r="AS20">
        <v>9.3000000000000007</v>
      </c>
      <c r="AU20" t="s">
        <v>26</v>
      </c>
      <c r="AV20">
        <v>10</v>
      </c>
      <c r="AW20" t="s">
        <v>26</v>
      </c>
      <c r="AX20">
        <v>9.8000000000000007</v>
      </c>
      <c r="AY20" t="s">
        <v>26</v>
      </c>
      <c r="AZ20">
        <v>10</v>
      </c>
      <c r="BA20" t="s">
        <v>26</v>
      </c>
      <c r="BB20">
        <v>10</v>
      </c>
      <c r="BC20" t="s">
        <v>26</v>
      </c>
      <c r="BD20">
        <v>9.6</v>
      </c>
      <c r="BE20" t="s">
        <v>26</v>
      </c>
      <c r="BF20">
        <v>9</v>
      </c>
      <c r="BG20" t="s">
        <v>26</v>
      </c>
      <c r="BH20">
        <v>10</v>
      </c>
      <c r="BI20" t="s">
        <v>26</v>
      </c>
      <c r="BJ20">
        <v>9.5</v>
      </c>
    </row>
    <row r="21" spans="1:62" x14ac:dyDescent="0.35">
      <c r="A21" t="s">
        <v>545</v>
      </c>
      <c r="B21" t="s">
        <v>545</v>
      </c>
      <c r="C21" t="s">
        <v>402</v>
      </c>
      <c r="D21" t="s">
        <v>959</v>
      </c>
      <c r="E21" t="s">
        <v>546</v>
      </c>
      <c r="F21" t="s">
        <v>39</v>
      </c>
      <c r="G21" t="s">
        <v>23</v>
      </c>
      <c r="H21" t="s">
        <v>42</v>
      </c>
      <c r="I21">
        <v>0</v>
      </c>
      <c r="J21">
        <v>5.8</v>
      </c>
      <c r="K21" t="s">
        <v>608</v>
      </c>
      <c r="L21">
        <v>5</v>
      </c>
      <c r="M21">
        <v>7.2</v>
      </c>
      <c r="N21">
        <v>5.4</v>
      </c>
      <c r="O21" t="s">
        <v>608</v>
      </c>
      <c r="P21">
        <v>5</v>
      </c>
      <c r="Q21">
        <v>1.3</v>
      </c>
      <c r="R21">
        <v>4.0999999999999996</v>
      </c>
      <c r="S21">
        <v>2.7</v>
      </c>
      <c r="T21">
        <v>6.7</v>
      </c>
      <c r="U21">
        <v>4.4000000000000004</v>
      </c>
      <c r="V21" t="s">
        <v>26</v>
      </c>
      <c r="W21">
        <v>0</v>
      </c>
      <c r="X21">
        <v>8</v>
      </c>
      <c r="Y21">
        <v>6.3</v>
      </c>
      <c r="Z21" t="s">
        <v>608</v>
      </c>
      <c r="AA21">
        <v>3.8</v>
      </c>
      <c r="AB21">
        <v>3</v>
      </c>
      <c r="AC21">
        <v>5.3</v>
      </c>
      <c r="AD21">
        <v>4</v>
      </c>
      <c r="AE21">
        <v>6.8</v>
      </c>
      <c r="AF21">
        <v>4.8</v>
      </c>
      <c r="AG21" t="s">
        <v>26</v>
      </c>
      <c r="AH21">
        <v>0</v>
      </c>
      <c r="AI21">
        <v>8.1</v>
      </c>
      <c r="AJ21">
        <v>8.6999999999999993</v>
      </c>
      <c r="AL21">
        <v>7</v>
      </c>
      <c r="AM21">
        <v>9</v>
      </c>
      <c r="AN21">
        <v>10</v>
      </c>
      <c r="AO21">
        <v>8</v>
      </c>
      <c r="AP21" t="s">
        <v>26</v>
      </c>
      <c r="AQ21">
        <v>0</v>
      </c>
      <c r="AR21">
        <v>7</v>
      </c>
      <c r="AS21">
        <v>9.3000000000000007</v>
      </c>
      <c r="AU21">
        <v>10</v>
      </c>
      <c r="AV21">
        <v>10</v>
      </c>
      <c r="AW21">
        <v>10</v>
      </c>
      <c r="AX21">
        <v>9.8000000000000007</v>
      </c>
      <c r="AY21">
        <v>10</v>
      </c>
      <c r="AZ21">
        <v>10</v>
      </c>
      <c r="BA21">
        <v>10</v>
      </c>
      <c r="BB21">
        <v>10</v>
      </c>
      <c r="BC21">
        <v>10</v>
      </c>
      <c r="BD21">
        <v>9.6</v>
      </c>
      <c r="BE21">
        <v>6</v>
      </c>
      <c r="BF21">
        <v>9</v>
      </c>
      <c r="BG21" t="s">
        <v>26</v>
      </c>
      <c r="BH21">
        <v>10</v>
      </c>
      <c r="BI21">
        <v>8</v>
      </c>
      <c r="BJ21">
        <v>9.5</v>
      </c>
    </row>
    <row r="22" spans="1:62" x14ac:dyDescent="0.35">
      <c r="A22" t="s">
        <v>455</v>
      </c>
      <c r="B22" t="s">
        <v>455</v>
      </c>
      <c r="C22" t="s">
        <v>402</v>
      </c>
      <c r="D22" t="s">
        <v>960</v>
      </c>
      <c r="E22" t="s">
        <v>456</v>
      </c>
      <c r="F22" t="s">
        <v>39</v>
      </c>
      <c r="G22" t="s">
        <v>23</v>
      </c>
      <c r="H22" t="s">
        <v>25</v>
      </c>
      <c r="I22">
        <v>0</v>
      </c>
      <c r="J22">
        <v>4.2</v>
      </c>
      <c r="L22">
        <v>22</v>
      </c>
      <c r="M22" t="s">
        <v>26</v>
      </c>
      <c r="N22">
        <v>5.4</v>
      </c>
      <c r="P22">
        <v>1.9</v>
      </c>
      <c r="Q22">
        <v>1.3</v>
      </c>
      <c r="R22">
        <v>1.5</v>
      </c>
      <c r="S22">
        <v>2.7</v>
      </c>
      <c r="T22">
        <v>4.4000000000000004</v>
      </c>
      <c r="U22">
        <v>4.4000000000000004</v>
      </c>
      <c r="V22" t="s">
        <v>26</v>
      </c>
      <c r="W22">
        <v>0</v>
      </c>
      <c r="X22" t="s">
        <v>26</v>
      </c>
      <c r="Y22">
        <v>6.3</v>
      </c>
      <c r="AA22">
        <v>3.2</v>
      </c>
      <c r="AB22">
        <v>3</v>
      </c>
      <c r="AC22">
        <v>5.4</v>
      </c>
      <c r="AD22">
        <v>4</v>
      </c>
      <c r="AE22">
        <v>4.4000000000000004</v>
      </c>
      <c r="AF22">
        <v>4.8</v>
      </c>
      <c r="AG22" t="s">
        <v>26</v>
      </c>
      <c r="AH22">
        <v>0</v>
      </c>
      <c r="AI22" t="s">
        <v>26</v>
      </c>
      <c r="AJ22">
        <v>8.6999999999999993</v>
      </c>
      <c r="AL22">
        <v>9</v>
      </c>
      <c r="AM22">
        <v>9</v>
      </c>
      <c r="AN22">
        <v>8</v>
      </c>
      <c r="AO22">
        <v>8</v>
      </c>
      <c r="AP22" t="s">
        <v>26</v>
      </c>
      <c r="AQ22">
        <v>0</v>
      </c>
      <c r="AR22" t="s">
        <v>26</v>
      </c>
      <c r="AS22">
        <v>9.3000000000000007</v>
      </c>
      <c r="AU22" t="s">
        <v>26</v>
      </c>
      <c r="AV22">
        <v>10</v>
      </c>
      <c r="AW22" t="s">
        <v>26</v>
      </c>
      <c r="AX22">
        <v>9.8000000000000007</v>
      </c>
      <c r="AY22" t="s">
        <v>26</v>
      </c>
      <c r="AZ22">
        <v>10</v>
      </c>
      <c r="BA22" t="s">
        <v>26</v>
      </c>
      <c r="BB22">
        <v>10</v>
      </c>
      <c r="BC22" t="s">
        <v>26</v>
      </c>
      <c r="BD22">
        <v>9.6</v>
      </c>
      <c r="BE22" t="s">
        <v>26</v>
      </c>
      <c r="BF22">
        <v>9</v>
      </c>
      <c r="BG22" t="s">
        <v>26</v>
      </c>
      <c r="BH22">
        <v>10</v>
      </c>
      <c r="BI22" t="s">
        <v>26</v>
      </c>
      <c r="BJ22">
        <v>9.5</v>
      </c>
    </row>
    <row r="23" spans="1:62" x14ac:dyDescent="0.35">
      <c r="A23" t="s">
        <v>526</v>
      </c>
      <c r="B23" t="s">
        <v>526</v>
      </c>
      <c r="C23" t="s">
        <v>402</v>
      </c>
      <c r="D23" t="s">
        <v>961</v>
      </c>
      <c r="E23" t="s">
        <v>527</v>
      </c>
      <c r="F23" t="s">
        <v>39</v>
      </c>
      <c r="G23" t="s">
        <v>23</v>
      </c>
      <c r="H23" t="s">
        <v>25</v>
      </c>
      <c r="I23">
        <v>0</v>
      </c>
      <c r="J23">
        <v>4</v>
      </c>
      <c r="L23">
        <v>29</v>
      </c>
      <c r="M23">
        <v>6</v>
      </c>
      <c r="N23">
        <v>5.4</v>
      </c>
      <c r="P23">
        <v>1.3</v>
      </c>
      <c r="Q23">
        <v>1.3</v>
      </c>
      <c r="R23">
        <v>5.5</v>
      </c>
      <c r="S23">
        <v>2.7</v>
      </c>
      <c r="T23">
        <v>9.8000000000000007</v>
      </c>
      <c r="U23">
        <v>4.4000000000000004</v>
      </c>
      <c r="V23" t="s">
        <v>26</v>
      </c>
      <c r="W23">
        <v>0</v>
      </c>
      <c r="X23">
        <v>6.2</v>
      </c>
      <c r="Y23">
        <v>6.3</v>
      </c>
      <c r="AA23">
        <v>3.4</v>
      </c>
      <c r="AB23">
        <v>3</v>
      </c>
      <c r="AC23">
        <v>5.4</v>
      </c>
      <c r="AD23">
        <v>4</v>
      </c>
      <c r="AE23">
        <v>4.5</v>
      </c>
      <c r="AF23">
        <v>4.8</v>
      </c>
      <c r="AG23" t="s">
        <v>26</v>
      </c>
      <c r="AH23">
        <v>0</v>
      </c>
      <c r="AI23">
        <v>8.9</v>
      </c>
      <c r="AJ23">
        <v>8.6999999999999993</v>
      </c>
      <c r="AL23">
        <v>9</v>
      </c>
      <c r="AM23">
        <v>9</v>
      </c>
      <c r="AN23">
        <v>8</v>
      </c>
      <c r="AO23">
        <v>8</v>
      </c>
      <c r="AP23" t="s">
        <v>26</v>
      </c>
      <c r="AQ23">
        <v>0</v>
      </c>
      <c r="AR23" t="s">
        <v>26</v>
      </c>
      <c r="AS23">
        <v>9.3000000000000007</v>
      </c>
      <c r="AU23" t="s">
        <v>26</v>
      </c>
      <c r="AV23">
        <v>10</v>
      </c>
      <c r="AW23" t="s">
        <v>26</v>
      </c>
      <c r="AX23">
        <v>9.8000000000000007</v>
      </c>
      <c r="AY23" t="s">
        <v>26</v>
      </c>
      <c r="AZ23">
        <v>10</v>
      </c>
      <c r="BA23" t="s">
        <v>26</v>
      </c>
      <c r="BB23">
        <v>10</v>
      </c>
      <c r="BC23" t="s">
        <v>26</v>
      </c>
      <c r="BD23">
        <v>9.6</v>
      </c>
      <c r="BE23" t="s">
        <v>26</v>
      </c>
      <c r="BF23">
        <v>9</v>
      </c>
      <c r="BG23" t="s">
        <v>26</v>
      </c>
      <c r="BH23">
        <v>10</v>
      </c>
      <c r="BI23" t="s">
        <v>26</v>
      </c>
      <c r="BJ23">
        <v>9.5</v>
      </c>
    </row>
    <row r="24" spans="1:62" x14ac:dyDescent="0.35">
      <c r="A24" t="s">
        <v>440</v>
      </c>
      <c r="B24" t="s">
        <v>440</v>
      </c>
      <c r="C24" t="s">
        <v>402</v>
      </c>
      <c r="D24" t="s">
        <v>962</v>
      </c>
      <c r="E24" t="s">
        <v>441</v>
      </c>
      <c r="F24" t="s">
        <v>39</v>
      </c>
      <c r="G24" t="s">
        <v>23</v>
      </c>
      <c r="H24" t="s">
        <v>25</v>
      </c>
      <c r="I24">
        <v>0</v>
      </c>
      <c r="J24">
        <v>5.2</v>
      </c>
      <c r="K24" t="s">
        <v>605</v>
      </c>
      <c r="L24">
        <v>8</v>
      </c>
      <c r="M24">
        <v>6.1</v>
      </c>
      <c r="N24">
        <v>5.4</v>
      </c>
      <c r="P24">
        <v>1.6</v>
      </c>
      <c r="Q24">
        <v>1.3</v>
      </c>
      <c r="R24">
        <v>5.5</v>
      </c>
      <c r="S24">
        <v>2.7</v>
      </c>
      <c r="T24">
        <v>7.1</v>
      </c>
      <c r="U24">
        <v>4.4000000000000004</v>
      </c>
      <c r="V24" t="s">
        <v>26</v>
      </c>
      <c r="W24">
        <v>0</v>
      </c>
      <c r="X24">
        <v>6.8</v>
      </c>
      <c r="Y24">
        <v>6.3</v>
      </c>
      <c r="AA24">
        <v>2.4</v>
      </c>
      <c r="AB24">
        <v>3</v>
      </c>
      <c r="AC24">
        <v>7</v>
      </c>
      <c r="AD24">
        <v>4</v>
      </c>
      <c r="AE24">
        <v>5.9</v>
      </c>
      <c r="AF24">
        <v>4.8</v>
      </c>
      <c r="AG24" t="s">
        <v>26</v>
      </c>
      <c r="AH24">
        <v>0</v>
      </c>
      <c r="AI24">
        <v>9.6</v>
      </c>
      <c r="AJ24">
        <v>8.6999999999999993</v>
      </c>
      <c r="AK24" t="s">
        <v>622</v>
      </c>
      <c r="AL24">
        <v>10</v>
      </c>
      <c r="AM24">
        <v>9</v>
      </c>
      <c r="AN24">
        <v>8</v>
      </c>
      <c r="AO24">
        <v>8</v>
      </c>
      <c r="AP24" t="s">
        <v>26</v>
      </c>
      <c r="AQ24">
        <v>0</v>
      </c>
      <c r="AR24">
        <v>10</v>
      </c>
      <c r="AS24">
        <v>9.3000000000000007</v>
      </c>
      <c r="AT24" t="s">
        <v>602</v>
      </c>
      <c r="AU24">
        <v>10</v>
      </c>
      <c r="AV24">
        <v>10</v>
      </c>
      <c r="AW24">
        <v>10</v>
      </c>
      <c r="AX24">
        <v>9.8000000000000007</v>
      </c>
      <c r="AY24">
        <v>10</v>
      </c>
      <c r="AZ24">
        <v>10</v>
      </c>
      <c r="BA24">
        <v>10</v>
      </c>
      <c r="BB24">
        <v>10</v>
      </c>
      <c r="BC24">
        <v>10</v>
      </c>
      <c r="BD24">
        <v>9.6</v>
      </c>
      <c r="BE24">
        <v>10</v>
      </c>
      <c r="BF24">
        <v>9</v>
      </c>
      <c r="BG24">
        <v>10</v>
      </c>
      <c r="BH24">
        <v>10</v>
      </c>
      <c r="BI24">
        <v>10</v>
      </c>
      <c r="BJ24">
        <v>9.5</v>
      </c>
    </row>
    <row r="25" spans="1:62" x14ac:dyDescent="0.35">
      <c r="A25" t="s">
        <v>491</v>
      </c>
      <c r="B25" t="s">
        <v>491</v>
      </c>
      <c r="C25" t="s">
        <v>402</v>
      </c>
      <c r="D25" t="s">
        <v>963</v>
      </c>
      <c r="E25" t="s">
        <v>492</v>
      </c>
      <c r="F25" t="s">
        <v>39</v>
      </c>
      <c r="G25" t="s">
        <v>23</v>
      </c>
      <c r="H25" t="s">
        <v>25</v>
      </c>
      <c r="I25">
        <v>0</v>
      </c>
      <c r="J25">
        <v>4.0999999999999996</v>
      </c>
      <c r="L25">
        <v>27</v>
      </c>
      <c r="M25">
        <v>3</v>
      </c>
      <c r="N25">
        <v>5.4</v>
      </c>
      <c r="P25">
        <v>0</v>
      </c>
      <c r="Q25">
        <v>1.3</v>
      </c>
      <c r="R25">
        <v>0.6</v>
      </c>
      <c r="S25">
        <v>2.7</v>
      </c>
      <c r="T25">
        <v>0</v>
      </c>
      <c r="U25">
        <v>4.4000000000000004</v>
      </c>
      <c r="V25" t="s">
        <v>26</v>
      </c>
      <c r="W25">
        <v>0</v>
      </c>
      <c r="X25">
        <v>6.2</v>
      </c>
      <c r="Y25">
        <v>6.3</v>
      </c>
      <c r="AA25">
        <v>2.8</v>
      </c>
      <c r="AB25">
        <v>3</v>
      </c>
      <c r="AC25">
        <v>3.8</v>
      </c>
      <c r="AD25">
        <v>4</v>
      </c>
      <c r="AE25">
        <v>5.3</v>
      </c>
      <c r="AF25">
        <v>4.8</v>
      </c>
      <c r="AG25" t="s">
        <v>26</v>
      </c>
      <c r="AH25">
        <v>0</v>
      </c>
      <c r="AI25">
        <v>9.6</v>
      </c>
      <c r="AJ25">
        <v>8.6999999999999993</v>
      </c>
      <c r="AK25" t="s">
        <v>608</v>
      </c>
      <c r="AL25">
        <v>10</v>
      </c>
      <c r="AM25">
        <v>9</v>
      </c>
      <c r="AN25">
        <v>8</v>
      </c>
      <c r="AO25">
        <v>8</v>
      </c>
      <c r="AP25" t="s">
        <v>26</v>
      </c>
      <c r="AQ25">
        <v>0</v>
      </c>
      <c r="AR25">
        <v>9.9</v>
      </c>
      <c r="AS25">
        <v>9.3000000000000007</v>
      </c>
      <c r="AT25" t="s">
        <v>605</v>
      </c>
      <c r="AU25">
        <v>9.6</v>
      </c>
      <c r="AV25">
        <v>10</v>
      </c>
      <c r="AW25">
        <v>10</v>
      </c>
      <c r="AX25">
        <v>9.8000000000000007</v>
      </c>
      <c r="AY25">
        <v>9.8000000000000007</v>
      </c>
      <c r="AZ25">
        <v>10</v>
      </c>
      <c r="BA25">
        <v>9.8000000000000007</v>
      </c>
      <c r="BB25">
        <v>10</v>
      </c>
      <c r="BC25">
        <v>10</v>
      </c>
      <c r="BD25">
        <v>9.6</v>
      </c>
      <c r="BE25">
        <v>9.8000000000000007</v>
      </c>
      <c r="BF25">
        <v>9</v>
      </c>
      <c r="BG25">
        <v>9.8000000000000007</v>
      </c>
      <c r="BH25">
        <v>10</v>
      </c>
      <c r="BI25">
        <v>9.8000000000000007</v>
      </c>
      <c r="BJ25">
        <v>9.5</v>
      </c>
    </row>
    <row r="26" spans="1:62" x14ac:dyDescent="0.35">
      <c r="A26" t="s">
        <v>519</v>
      </c>
      <c r="B26" t="s">
        <v>519</v>
      </c>
      <c r="C26" t="s">
        <v>402</v>
      </c>
      <c r="D26" t="s">
        <v>964</v>
      </c>
      <c r="E26" t="s">
        <v>520</v>
      </c>
      <c r="F26" t="s">
        <v>39</v>
      </c>
      <c r="G26" t="s">
        <v>23</v>
      </c>
      <c r="H26" t="s">
        <v>25</v>
      </c>
      <c r="I26">
        <v>0</v>
      </c>
      <c r="J26">
        <v>4.5999999999999996</v>
      </c>
      <c r="K26" t="s">
        <v>605</v>
      </c>
      <c r="L26">
        <v>10</v>
      </c>
      <c r="M26">
        <v>5.9</v>
      </c>
      <c r="N26">
        <v>5.4</v>
      </c>
      <c r="P26">
        <v>3.1</v>
      </c>
      <c r="Q26">
        <v>1.3</v>
      </c>
      <c r="R26">
        <v>3.6</v>
      </c>
      <c r="S26">
        <v>2.7</v>
      </c>
      <c r="T26">
        <v>2.7</v>
      </c>
      <c r="U26">
        <v>4.4000000000000004</v>
      </c>
      <c r="V26" t="s">
        <v>26</v>
      </c>
      <c r="W26">
        <v>0</v>
      </c>
      <c r="X26">
        <v>5.6</v>
      </c>
      <c r="Y26">
        <v>6.3</v>
      </c>
      <c r="AA26">
        <v>2</v>
      </c>
      <c r="AB26">
        <v>3</v>
      </c>
      <c r="AC26">
        <v>4.4000000000000004</v>
      </c>
      <c r="AD26">
        <v>4</v>
      </c>
      <c r="AE26">
        <v>4.0999999999999996</v>
      </c>
      <c r="AF26">
        <v>4.8</v>
      </c>
      <c r="AG26" t="s">
        <v>26</v>
      </c>
      <c r="AH26">
        <v>0</v>
      </c>
      <c r="AI26">
        <v>9.6</v>
      </c>
      <c r="AJ26">
        <v>8.6999999999999993</v>
      </c>
      <c r="AK26" t="s">
        <v>662</v>
      </c>
      <c r="AL26">
        <v>10</v>
      </c>
      <c r="AM26">
        <v>9</v>
      </c>
      <c r="AN26">
        <v>8</v>
      </c>
      <c r="AO26">
        <v>8</v>
      </c>
      <c r="AP26" t="s">
        <v>26</v>
      </c>
      <c r="AQ26">
        <v>0</v>
      </c>
      <c r="AR26">
        <v>9.8000000000000007</v>
      </c>
      <c r="AS26">
        <v>9.3000000000000007</v>
      </c>
      <c r="AT26" t="s">
        <v>605</v>
      </c>
      <c r="AU26">
        <v>10</v>
      </c>
      <c r="AV26">
        <v>10</v>
      </c>
      <c r="AW26">
        <v>9</v>
      </c>
      <c r="AX26">
        <v>9.8000000000000007</v>
      </c>
      <c r="AY26">
        <v>10</v>
      </c>
      <c r="AZ26">
        <v>10</v>
      </c>
      <c r="BA26">
        <v>10</v>
      </c>
      <c r="BB26">
        <v>10</v>
      </c>
      <c r="BC26">
        <v>9.5</v>
      </c>
      <c r="BD26">
        <v>9.6</v>
      </c>
      <c r="BE26">
        <v>9.3000000000000007</v>
      </c>
      <c r="BF26">
        <v>9</v>
      </c>
      <c r="BG26">
        <v>9.8000000000000007</v>
      </c>
      <c r="BH26">
        <v>10</v>
      </c>
      <c r="BI26">
        <v>9.8000000000000007</v>
      </c>
      <c r="BJ26">
        <v>9.5</v>
      </c>
    </row>
    <row r="27" spans="1:62" x14ac:dyDescent="0.35">
      <c r="A27" t="s">
        <v>474</v>
      </c>
      <c r="B27" t="s">
        <v>474</v>
      </c>
      <c r="C27" t="s">
        <v>402</v>
      </c>
      <c r="D27" t="s">
        <v>965</v>
      </c>
      <c r="E27" t="s">
        <v>475</v>
      </c>
      <c r="F27" t="s">
        <v>24</v>
      </c>
      <c r="G27" t="s">
        <v>23</v>
      </c>
      <c r="H27" t="s">
        <v>25</v>
      </c>
      <c r="I27">
        <v>0</v>
      </c>
      <c r="J27">
        <v>4.2</v>
      </c>
      <c r="L27">
        <v>21</v>
      </c>
      <c r="M27">
        <v>5.5</v>
      </c>
      <c r="N27">
        <v>5.4</v>
      </c>
      <c r="P27">
        <v>1.9</v>
      </c>
      <c r="Q27">
        <v>1.3</v>
      </c>
      <c r="R27">
        <v>0</v>
      </c>
      <c r="S27">
        <v>2.7</v>
      </c>
      <c r="T27">
        <v>0</v>
      </c>
      <c r="U27">
        <v>4.4000000000000004</v>
      </c>
      <c r="V27" t="s">
        <v>26</v>
      </c>
      <c r="W27">
        <v>0</v>
      </c>
      <c r="X27">
        <v>5.3</v>
      </c>
      <c r="Y27">
        <v>6.3</v>
      </c>
      <c r="AA27">
        <v>2.8</v>
      </c>
      <c r="AB27">
        <v>3</v>
      </c>
      <c r="AC27">
        <v>5.7</v>
      </c>
      <c r="AD27">
        <v>4</v>
      </c>
      <c r="AE27">
        <v>2.5</v>
      </c>
      <c r="AF27">
        <v>4.8</v>
      </c>
      <c r="AG27" t="s">
        <v>26</v>
      </c>
      <c r="AH27">
        <v>0</v>
      </c>
      <c r="AI27">
        <v>9.6</v>
      </c>
      <c r="AJ27">
        <v>8.6999999999999993</v>
      </c>
      <c r="AK27" t="s">
        <v>608</v>
      </c>
      <c r="AL27">
        <v>10</v>
      </c>
      <c r="AM27">
        <v>9</v>
      </c>
      <c r="AN27">
        <v>8</v>
      </c>
      <c r="AO27">
        <v>8</v>
      </c>
      <c r="AP27" t="s">
        <v>26</v>
      </c>
      <c r="AQ27">
        <v>0</v>
      </c>
      <c r="AR27">
        <v>9.6</v>
      </c>
      <c r="AS27">
        <v>9.3000000000000007</v>
      </c>
      <c r="AU27">
        <v>10</v>
      </c>
      <c r="AV27">
        <v>10</v>
      </c>
      <c r="AW27">
        <v>9.6</v>
      </c>
      <c r="AX27">
        <v>9.8000000000000007</v>
      </c>
      <c r="AY27">
        <v>9.1999999999999993</v>
      </c>
      <c r="AZ27">
        <v>10</v>
      </c>
      <c r="BA27">
        <v>9.1999999999999993</v>
      </c>
      <c r="BB27">
        <v>10</v>
      </c>
      <c r="BC27">
        <v>9.1999999999999993</v>
      </c>
      <c r="BD27">
        <v>9.6</v>
      </c>
      <c r="BE27">
        <v>9.6</v>
      </c>
      <c r="BF27">
        <v>9</v>
      </c>
      <c r="BG27">
        <v>10</v>
      </c>
      <c r="BH27">
        <v>10</v>
      </c>
      <c r="BI27">
        <v>9.1999999999999993</v>
      </c>
      <c r="BJ27">
        <v>9.5</v>
      </c>
    </row>
    <row r="28" spans="1:62" x14ac:dyDescent="0.35">
      <c r="A28" t="s">
        <v>548</v>
      </c>
      <c r="B28" t="s">
        <v>548</v>
      </c>
      <c r="C28" t="s">
        <v>402</v>
      </c>
      <c r="D28" t="s">
        <v>966</v>
      </c>
      <c r="E28" t="s">
        <v>549</v>
      </c>
      <c r="F28" t="s">
        <v>39</v>
      </c>
      <c r="G28" t="s">
        <v>23</v>
      </c>
      <c r="H28" t="s">
        <v>25</v>
      </c>
      <c r="I28">
        <v>0</v>
      </c>
      <c r="J28">
        <v>3.4</v>
      </c>
      <c r="L28">
        <v>43</v>
      </c>
      <c r="M28">
        <v>4.2</v>
      </c>
      <c r="N28">
        <v>5.4</v>
      </c>
      <c r="P28">
        <v>0</v>
      </c>
      <c r="Q28">
        <v>1.3</v>
      </c>
      <c r="R28">
        <v>2.1</v>
      </c>
      <c r="S28">
        <v>2.7</v>
      </c>
      <c r="T28">
        <v>3.4</v>
      </c>
      <c r="U28">
        <v>4.4000000000000004</v>
      </c>
      <c r="V28" t="s">
        <v>26</v>
      </c>
      <c r="W28">
        <v>0</v>
      </c>
      <c r="X28">
        <v>4.7</v>
      </c>
      <c r="Y28">
        <v>6.3</v>
      </c>
      <c r="AA28">
        <v>5</v>
      </c>
      <c r="AB28">
        <v>3</v>
      </c>
      <c r="AC28">
        <v>3</v>
      </c>
      <c r="AD28">
        <v>4</v>
      </c>
      <c r="AE28">
        <v>1.1000000000000001</v>
      </c>
      <c r="AF28">
        <v>4.8</v>
      </c>
      <c r="AG28" t="s">
        <v>26</v>
      </c>
      <c r="AH28">
        <v>0</v>
      </c>
      <c r="AI28">
        <v>9.6</v>
      </c>
      <c r="AJ28">
        <v>8.6999999999999993</v>
      </c>
      <c r="AK28" t="s">
        <v>605</v>
      </c>
      <c r="AL28">
        <v>10</v>
      </c>
      <c r="AM28">
        <v>9</v>
      </c>
      <c r="AN28">
        <v>8</v>
      </c>
      <c r="AO28">
        <v>8</v>
      </c>
      <c r="AP28" t="s">
        <v>26</v>
      </c>
      <c r="AQ28">
        <v>0</v>
      </c>
      <c r="AR28">
        <v>9.3000000000000007</v>
      </c>
      <c r="AS28">
        <v>9.3000000000000007</v>
      </c>
      <c r="AU28">
        <v>10</v>
      </c>
      <c r="AV28">
        <v>10</v>
      </c>
      <c r="AW28">
        <v>10</v>
      </c>
      <c r="AX28">
        <v>9.8000000000000007</v>
      </c>
      <c r="AY28">
        <v>10</v>
      </c>
      <c r="AZ28">
        <v>10</v>
      </c>
      <c r="BA28">
        <v>9</v>
      </c>
      <c r="BB28">
        <v>10</v>
      </c>
      <c r="BC28">
        <v>10</v>
      </c>
      <c r="BD28">
        <v>9.6</v>
      </c>
      <c r="BE28">
        <v>10</v>
      </c>
      <c r="BF28">
        <v>9</v>
      </c>
      <c r="BG28">
        <v>10</v>
      </c>
      <c r="BH28">
        <v>10</v>
      </c>
      <c r="BI28">
        <v>9</v>
      </c>
      <c r="BJ28">
        <v>9.5</v>
      </c>
    </row>
    <row r="29" spans="1:62" x14ac:dyDescent="0.35">
      <c r="A29" t="s">
        <v>418</v>
      </c>
      <c r="B29" t="s">
        <v>418</v>
      </c>
      <c r="C29" t="s">
        <v>402</v>
      </c>
      <c r="D29" t="s">
        <v>967</v>
      </c>
      <c r="E29" t="s">
        <v>419</v>
      </c>
      <c r="F29" t="s">
        <v>24</v>
      </c>
      <c r="G29" t="s">
        <v>23</v>
      </c>
      <c r="H29" t="s">
        <v>25</v>
      </c>
      <c r="I29">
        <v>0</v>
      </c>
      <c r="J29">
        <v>4.2</v>
      </c>
      <c r="L29">
        <v>20</v>
      </c>
      <c r="M29">
        <v>5.0999999999999996</v>
      </c>
      <c r="N29">
        <v>5.4</v>
      </c>
      <c r="P29">
        <v>1.3</v>
      </c>
      <c r="Q29">
        <v>1.3</v>
      </c>
      <c r="R29">
        <v>0.6</v>
      </c>
      <c r="S29">
        <v>2.7</v>
      </c>
      <c r="T29">
        <v>7.7</v>
      </c>
      <c r="U29">
        <v>4.4000000000000004</v>
      </c>
      <c r="V29" t="s">
        <v>26</v>
      </c>
      <c r="W29">
        <v>0</v>
      </c>
      <c r="X29">
        <v>6.1</v>
      </c>
      <c r="Y29">
        <v>6.3</v>
      </c>
      <c r="AA29">
        <v>4.2</v>
      </c>
      <c r="AB29">
        <v>3</v>
      </c>
      <c r="AC29">
        <v>3</v>
      </c>
      <c r="AD29">
        <v>4</v>
      </c>
      <c r="AE29">
        <v>4.8</v>
      </c>
      <c r="AF29">
        <v>4.8</v>
      </c>
      <c r="AG29" t="s">
        <v>26</v>
      </c>
      <c r="AH29">
        <v>0</v>
      </c>
      <c r="AI29">
        <v>10</v>
      </c>
      <c r="AJ29">
        <v>8.6999999999999993</v>
      </c>
      <c r="AK29" t="s">
        <v>602</v>
      </c>
      <c r="AL29">
        <v>10</v>
      </c>
      <c r="AM29">
        <v>9</v>
      </c>
      <c r="AN29">
        <v>9</v>
      </c>
      <c r="AO29">
        <v>8</v>
      </c>
      <c r="AP29" t="s">
        <v>26</v>
      </c>
      <c r="AQ29">
        <v>0</v>
      </c>
      <c r="AR29">
        <v>9.1999999999999993</v>
      </c>
      <c r="AS29">
        <v>9.3000000000000007</v>
      </c>
      <c r="AU29">
        <v>9</v>
      </c>
      <c r="AV29">
        <v>10</v>
      </c>
      <c r="AW29">
        <v>9</v>
      </c>
      <c r="AX29">
        <v>9.8000000000000007</v>
      </c>
      <c r="AY29">
        <v>8.5</v>
      </c>
      <c r="AZ29">
        <v>10</v>
      </c>
      <c r="BA29">
        <v>8.5</v>
      </c>
      <c r="BB29">
        <v>10</v>
      </c>
      <c r="BC29">
        <v>8.5</v>
      </c>
      <c r="BD29">
        <v>9.6</v>
      </c>
      <c r="BE29">
        <v>9</v>
      </c>
      <c r="BF29">
        <v>9</v>
      </c>
      <c r="BG29">
        <v>9.5</v>
      </c>
      <c r="BH29">
        <v>10</v>
      </c>
      <c r="BI29">
        <v>10</v>
      </c>
      <c r="BJ29">
        <v>9.5</v>
      </c>
    </row>
    <row r="30" spans="1:62" x14ac:dyDescent="0.35">
      <c r="A30" t="s">
        <v>471</v>
      </c>
      <c r="B30" t="s">
        <v>471</v>
      </c>
      <c r="C30" t="s">
        <v>402</v>
      </c>
      <c r="D30" t="s">
        <v>968</v>
      </c>
      <c r="E30" t="s">
        <v>472</v>
      </c>
      <c r="F30" t="s">
        <v>24</v>
      </c>
      <c r="G30" t="s">
        <v>23</v>
      </c>
      <c r="H30" t="s">
        <v>25</v>
      </c>
      <c r="I30">
        <v>0</v>
      </c>
      <c r="J30">
        <v>4</v>
      </c>
      <c r="L30">
        <v>32</v>
      </c>
      <c r="M30">
        <v>4.3</v>
      </c>
      <c r="N30">
        <v>5.4</v>
      </c>
      <c r="P30">
        <v>0.6</v>
      </c>
      <c r="Q30">
        <v>1.3</v>
      </c>
      <c r="R30">
        <v>0.8</v>
      </c>
      <c r="S30">
        <v>2.7</v>
      </c>
      <c r="T30">
        <v>5.3</v>
      </c>
      <c r="U30">
        <v>4.4000000000000004</v>
      </c>
      <c r="V30" t="s">
        <v>26</v>
      </c>
      <c r="W30">
        <v>0</v>
      </c>
      <c r="X30">
        <v>6.5</v>
      </c>
      <c r="Y30">
        <v>6.3</v>
      </c>
      <c r="AA30">
        <v>3.4</v>
      </c>
      <c r="AB30">
        <v>3</v>
      </c>
      <c r="AC30">
        <v>3</v>
      </c>
      <c r="AD30">
        <v>4</v>
      </c>
      <c r="AE30">
        <v>6.2</v>
      </c>
      <c r="AF30">
        <v>4.8</v>
      </c>
      <c r="AG30" t="s">
        <v>26</v>
      </c>
      <c r="AH30">
        <v>0</v>
      </c>
      <c r="AI30">
        <v>9.6</v>
      </c>
      <c r="AJ30">
        <v>8.6999999999999993</v>
      </c>
      <c r="AK30" t="s">
        <v>605</v>
      </c>
      <c r="AL30">
        <v>10</v>
      </c>
      <c r="AM30">
        <v>9</v>
      </c>
      <c r="AN30">
        <v>8</v>
      </c>
      <c r="AO30">
        <v>8</v>
      </c>
      <c r="AP30" t="s">
        <v>26</v>
      </c>
      <c r="AQ30">
        <v>0</v>
      </c>
      <c r="AR30">
        <v>8.8000000000000007</v>
      </c>
      <c r="AS30">
        <v>9.3000000000000007</v>
      </c>
      <c r="AU30">
        <v>9</v>
      </c>
      <c r="AV30">
        <v>10</v>
      </c>
      <c r="AW30">
        <v>10</v>
      </c>
      <c r="AX30">
        <v>9.8000000000000007</v>
      </c>
      <c r="AY30">
        <v>9</v>
      </c>
      <c r="AZ30">
        <v>10</v>
      </c>
      <c r="BA30">
        <v>9</v>
      </c>
      <c r="BB30">
        <v>10</v>
      </c>
      <c r="BC30">
        <v>9</v>
      </c>
      <c r="BD30">
        <v>9.6</v>
      </c>
      <c r="BE30">
        <v>9</v>
      </c>
      <c r="BF30">
        <v>9</v>
      </c>
      <c r="BG30">
        <v>9</v>
      </c>
      <c r="BH30">
        <v>10</v>
      </c>
      <c r="BI30">
        <v>9</v>
      </c>
      <c r="BJ30">
        <v>9.5</v>
      </c>
    </row>
    <row r="31" spans="1:62" x14ac:dyDescent="0.35">
      <c r="A31" t="s">
        <v>427</v>
      </c>
      <c r="B31" t="s">
        <v>427</v>
      </c>
      <c r="C31" t="s">
        <v>402</v>
      </c>
      <c r="D31" t="s">
        <v>969</v>
      </c>
      <c r="E31" t="s">
        <v>428</v>
      </c>
      <c r="F31" t="s">
        <v>39</v>
      </c>
      <c r="G31" t="s">
        <v>23</v>
      </c>
      <c r="H31" t="s">
        <v>25</v>
      </c>
      <c r="I31">
        <v>0</v>
      </c>
      <c r="J31">
        <v>3.9</v>
      </c>
      <c r="L31">
        <v>33</v>
      </c>
      <c r="M31">
        <v>4.2</v>
      </c>
      <c r="N31">
        <v>5.4</v>
      </c>
      <c r="P31">
        <v>0.9</v>
      </c>
      <c r="Q31">
        <v>1.3</v>
      </c>
      <c r="R31">
        <v>0</v>
      </c>
      <c r="S31">
        <v>2.7</v>
      </c>
      <c r="T31">
        <v>0</v>
      </c>
      <c r="U31">
        <v>4.4000000000000004</v>
      </c>
      <c r="V31" t="s">
        <v>26</v>
      </c>
      <c r="W31">
        <v>0</v>
      </c>
      <c r="X31">
        <v>6.1</v>
      </c>
      <c r="Y31">
        <v>6.3</v>
      </c>
      <c r="AA31">
        <v>6.8</v>
      </c>
      <c r="AB31">
        <v>3</v>
      </c>
      <c r="AC31">
        <v>4.4000000000000004</v>
      </c>
      <c r="AD31">
        <v>4</v>
      </c>
      <c r="AE31">
        <v>3.4</v>
      </c>
      <c r="AF31">
        <v>4.8</v>
      </c>
      <c r="AG31" t="s">
        <v>26</v>
      </c>
      <c r="AH31">
        <v>0</v>
      </c>
      <c r="AI31">
        <v>9.6</v>
      </c>
      <c r="AJ31">
        <v>8.6999999999999993</v>
      </c>
      <c r="AK31" t="s">
        <v>605</v>
      </c>
      <c r="AL31">
        <v>10</v>
      </c>
      <c r="AM31">
        <v>9</v>
      </c>
      <c r="AN31">
        <v>8</v>
      </c>
      <c r="AO31">
        <v>8</v>
      </c>
      <c r="AP31" t="s">
        <v>26</v>
      </c>
      <c r="AQ31">
        <v>0</v>
      </c>
      <c r="AR31">
        <v>8.5</v>
      </c>
      <c r="AS31">
        <v>9.3000000000000007</v>
      </c>
      <c r="AU31">
        <v>10</v>
      </c>
      <c r="AV31">
        <v>10</v>
      </c>
      <c r="AW31">
        <v>10</v>
      </c>
      <c r="AX31">
        <v>9.8000000000000007</v>
      </c>
      <c r="AY31">
        <v>10</v>
      </c>
      <c r="AZ31">
        <v>10</v>
      </c>
      <c r="BA31">
        <v>10</v>
      </c>
      <c r="BB31">
        <v>10</v>
      </c>
      <c r="BC31">
        <v>10</v>
      </c>
      <c r="BD31">
        <v>9.6</v>
      </c>
      <c r="BE31">
        <v>10</v>
      </c>
      <c r="BF31">
        <v>9</v>
      </c>
      <c r="BG31">
        <v>10</v>
      </c>
      <c r="BH31">
        <v>10</v>
      </c>
      <c r="BI31">
        <v>10</v>
      </c>
      <c r="BJ31">
        <v>9.5</v>
      </c>
    </row>
    <row r="32" spans="1:62" x14ac:dyDescent="0.35">
      <c r="A32" t="s">
        <v>529</v>
      </c>
      <c r="B32" t="s">
        <v>529</v>
      </c>
      <c r="C32" t="s">
        <v>402</v>
      </c>
      <c r="D32" t="s">
        <v>970</v>
      </c>
      <c r="E32" t="s">
        <v>530</v>
      </c>
      <c r="F32" t="s">
        <v>24</v>
      </c>
      <c r="G32" t="s">
        <v>23</v>
      </c>
      <c r="H32" t="s">
        <v>25</v>
      </c>
      <c r="I32">
        <v>0</v>
      </c>
      <c r="J32">
        <v>3.5</v>
      </c>
      <c r="L32">
        <v>41</v>
      </c>
      <c r="M32">
        <v>4</v>
      </c>
      <c r="N32">
        <v>5.4</v>
      </c>
      <c r="P32">
        <v>0</v>
      </c>
      <c r="Q32">
        <v>1.3</v>
      </c>
      <c r="R32">
        <v>1.8</v>
      </c>
      <c r="S32">
        <v>2.7</v>
      </c>
      <c r="T32">
        <v>0</v>
      </c>
      <c r="U32">
        <v>4.4000000000000004</v>
      </c>
      <c r="V32" t="s">
        <v>26</v>
      </c>
      <c r="W32">
        <v>0</v>
      </c>
      <c r="X32">
        <v>5.3</v>
      </c>
      <c r="Y32">
        <v>6.3</v>
      </c>
      <c r="AA32">
        <v>2.2000000000000002</v>
      </c>
      <c r="AB32">
        <v>3</v>
      </c>
      <c r="AC32">
        <v>2.5</v>
      </c>
      <c r="AD32">
        <v>4</v>
      </c>
      <c r="AE32">
        <v>4</v>
      </c>
      <c r="AF32">
        <v>4.8</v>
      </c>
      <c r="AG32" t="s">
        <v>26</v>
      </c>
      <c r="AH32">
        <v>0</v>
      </c>
      <c r="AI32">
        <v>9.6</v>
      </c>
      <c r="AJ32">
        <v>8.6999999999999993</v>
      </c>
      <c r="AK32" t="s">
        <v>605</v>
      </c>
      <c r="AL32">
        <v>10</v>
      </c>
      <c r="AM32">
        <v>9</v>
      </c>
      <c r="AN32">
        <v>8</v>
      </c>
      <c r="AO32">
        <v>8</v>
      </c>
      <c r="AP32" t="s">
        <v>26</v>
      </c>
      <c r="AQ32">
        <v>0</v>
      </c>
      <c r="AR32">
        <v>8.5</v>
      </c>
      <c r="AS32">
        <v>9.3000000000000007</v>
      </c>
      <c r="AU32">
        <v>10</v>
      </c>
      <c r="AV32">
        <v>10</v>
      </c>
      <c r="AW32">
        <v>10</v>
      </c>
      <c r="AX32">
        <v>9.8000000000000007</v>
      </c>
      <c r="AY32">
        <v>10</v>
      </c>
      <c r="AZ32">
        <v>10</v>
      </c>
      <c r="BA32">
        <v>10</v>
      </c>
      <c r="BB32">
        <v>10</v>
      </c>
      <c r="BC32">
        <v>10</v>
      </c>
      <c r="BD32">
        <v>9.6</v>
      </c>
      <c r="BE32">
        <v>10</v>
      </c>
      <c r="BF32">
        <v>9</v>
      </c>
      <c r="BG32">
        <v>10</v>
      </c>
      <c r="BH32">
        <v>10</v>
      </c>
      <c r="BI32">
        <v>10</v>
      </c>
      <c r="BJ32">
        <v>9.5</v>
      </c>
    </row>
    <row r="33" spans="1:62" x14ac:dyDescent="0.35">
      <c r="A33" t="s">
        <v>424</v>
      </c>
      <c r="B33" t="s">
        <v>424</v>
      </c>
      <c r="C33" t="s">
        <v>402</v>
      </c>
      <c r="D33" t="s">
        <v>971</v>
      </c>
      <c r="E33" t="s">
        <v>425</v>
      </c>
      <c r="F33" t="s">
        <v>39</v>
      </c>
      <c r="G33" t="s">
        <v>23</v>
      </c>
      <c r="H33" t="s">
        <v>25</v>
      </c>
      <c r="I33">
        <v>0</v>
      </c>
      <c r="J33">
        <v>3.2</v>
      </c>
      <c r="L33">
        <v>47</v>
      </c>
      <c r="M33">
        <v>4.3</v>
      </c>
      <c r="N33">
        <v>5.4</v>
      </c>
      <c r="P33">
        <v>0.6</v>
      </c>
      <c r="Q33">
        <v>1.3</v>
      </c>
      <c r="R33">
        <v>0.8</v>
      </c>
      <c r="S33">
        <v>2.7</v>
      </c>
      <c r="T33">
        <v>4.9000000000000004</v>
      </c>
      <c r="U33">
        <v>4.4000000000000004</v>
      </c>
      <c r="V33" t="s">
        <v>26</v>
      </c>
      <c r="W33">
        <v>0</v>
      </c>
      <c r="X33">
        <v>4.9000000000000004</v>
      </c>
      <c r="Y33">
        <v>6.3</v>
      </c>
      <c r="AA33">
        <v>2.2000000000000002</v>
      </c>
      <c r="AB33">
        <v>3</v>
      </c>
      <c r="AC33">
        <v>3.2</v>
      </c>
      <c r="AD33">
        <v>4</v>
      </c>
      <c r="AE33">
        <v>2.7</v>
      </c>
      <c r="AF33">
        <v>4.8</v>
      </c>
      <c r="AG33" t="s">
        <v>26</v>
      </c>
      <c r="AH33">
        <v>0</v>
      </c>
      <c r="AI33">
        <v>8.9</v>
      </c>
      <c r="AJ33">
        <v>8.6999999999999993</v>
      </c>
      <c r="AL33">
        <v>9</v>
      </c>
      <c r="AM33">
        <v>9</v>
      </c>
      <c r="AN33">
        <v>8</v>
      </c>
      <c r="AO33">
        <v>8</v>
      </c>
      <c r="AP33" t="s">
        <v>26</v>
      </c>
      <c r="AQ33">
        <v>0</v>
      </c>
      <c r="AR33">
        <v>7.8</v>
      </c>
      <c r="AS33">
        <v>9.3000000000000007</v>
      </c>
      <c r="AU33">
        <v>8</v>
      </c>
      <c r="AV33">
        <v>10</v>
      </c>
      <c r="AW33">
        <v>10</v>
      </c>
      <c r="AX33">
        <v>9.8000000000000007</v>
      </c>
      <c r="AY33">
        <v>10</v>
      </c>
      <c r="AZ33">
        <v>10</v>
      </c>
      <c r="BA33">
        <v>8</v>
      </c>
      <c r="BB33">
        <v>10</v>
      </c>
      <c r="BC33">
        <v>10</v>
      </c>
      <c r="BD33">
        <v>9.6</v>
      </c>
      <c r="BE33">
        <v>8</v>
      </c>
      <c r="BF33">
        <v>9</v>
      </c>
      <c r="BG33">
        <v>10</v>
      </c>
      <c r="BH33">
        <v>10</v>
      </c>
      <c r="BI33">
        <v>8</v>
      </c>
      <c r="BJ33">
        <v>9.5</v>
      </c>
    </row>
    <row r="34" spans="1:62" x14ac:dyDescent="0.35">
      <c r="A34" t="s">
        <v>480</v>
      </c>
      <c r="B34" t="s">
        <v>480</v>
      </c>
      <c r="C34" t="s">
        <v>402</v>
      </c>
      <c r="D34" t="s">
        <v>972</v>
      </c>
      <c r="E34" t="s">
        <v>481</v>
      </c>
      <c r="F34" t="s">
        <v>39</v>
      </c>
      <c r="G34" t="s">
        <v>482</v>
      </c>
      <c r="H34" t="s">
        <v>483</v>
      </c>
      <c r="I34">
        <v>0</v>
      </c>
      <c r="J34">
        <v>3.7</v>
      </c>
      <c r="L34">
        <v>34</v>
      </c>
      <c r="M34">
        <v>5.2</v>
      </c>
      <c r="N34">
        <v>5.4</v>
      </c>
      <c r="P34">
        <v>0.3</v>
      </c>
      <c r="Q34">
        <v>1.3</v>
      </c>
      <c r="R34">
        <v>3.2</v>
      </c>
      <c r="S34">
        <v>2.7</v>
      </c>
      <c r="T34">
        <v>7.8</v>
      </c>
      <c r="U34">
        <v>4.4000000000000004</v>
      </c>
      <c r="V34" t="s">
        <v>26</v>
      </c>
      <c r="W34">
        <v>0</v>
      </c>
      <c r="X34">
        <v>6</v>
      </c>
      <c r="Y34">
        <v>6.3</v>
      </c>
      <c r="AA34">
        <v>2</v>
      </c>
      <c r="AB34">
        <v>3</v>
      </c>
      <c r="AC34">
        <v>4.4000000000000004</v>
      </c>
      <c r="AD34">
        <v>4</v>
      </c>
      <c r="AE34">
        <v>4.9000000000000004</v>
      </c>
      <c r="AF34">
        <v>4.8</v>
      </c>
      <c r="AG34" t="s">
        <v>26</v>
      </c>
      <c r="AH34">
        <v>0</v>
      </c>
      <c r="AI34">
        <v>8.1999999999999993</v>
      </c>
      <c r="AJ34">
        <v>8.6999999999999993</v>
      </c>
      <c r="AL34">
        <v>8</v>
      </c>
      <c r="AM34">
        <v>9</v>
      </c>
      <c r="AN34">
        <v>8</v>
      </c>
      <c r="AO34">
        <v>8</v>
      </c>
      <c r="AP34" t="s">
        <v>26</v>
      </c>
      <c r="AQ34">
        <v>0</v>
      </c>
      <c r="AR34">
        <v>8.5</v>
      </c>
      <c r="AS34">
        <v>9.3000000000000007</v>
      </c>
      <c r="AU34">
        <v>10</v>
      </c>
      <c r="AV34">
        <v>10</v>
      </c>
      <c r="AW34">
        <v>10</v>
      </c>
      <c r="AX34">
        <v>9.8000000000000007</v>
      </c>
      <c r="AY34">
        <v>10</v>
      </c>
      <c r="AZ34">
        <v>10</v>
      </c>
      <c r="BA34">
        <v>10</v>
      </c>
      <c r="BB34">
        <v>10</v>
      </c>
      <c r="BC34">
        <v>10</v>
      </c>
      <c r="BD34">
        <v>9.6</v>
      </c>
      <c r="BE34">
        <v>10</v>
      </c>
      <c r="BF34">
        <v>9</v>
      </c>
      <c r="BG34">
        <v>10</v>
      </c>
      <c r="BH34">
        <v>10</v>
      </c>
      <c r="BI34">
        <v>10</v>
      </c>
      <c r="BJ34">
        <v>9.5</v>
      </c>
    </row>
    <row r="35" spans="1:62" x14ac:dyDescent="0.35">
      <c r="A35" t="s">
        <v>514</v>
      </c>
      <c r="B35" t="s">
        <v>514</v>
      </c>
      <c r="C35" t="s">
        <v>402</v>
      </c>
      <c r="D35" t="s">
        <v>973</v>
      </c>
      <c r="E35" t="s">
        <v>515</v>
      </c>
      <c r="F35" t="s">
        <v>57</v>
      </c>
      <c r="G35" t="s">
        <v>516</v>
      </c>
      <c r="H35" t="s">
        <v>517</v>
      </c>
      <c r="I35">
        <v>0</v>
      </c>
      <c r="J35">
        <v>3.3</v>
      </c>
      <c r="L35">
        <v>46</v>
      </c>
      <c r="M35">
        <v>4.5</v>
      </c>
      <c r="N35">
        <v>5.4</v>
      </c>
      <c r="P35">
        <v>0</v>
      </c>
      <c r="Q35">
        <v>1.3</v>
      </c>
      <c r="R35">
        <v>2.4</v>
      </c>
      <c r="S35">
        <v>2.7</v>
      </c>
      <c r="T35">
        <v>8.1999999999999993</v>
      </c>
      <c r="U35">
        <v>4.4000000000000004</v>
      </c>
      <c r="V35" t="s">
        <v>26</v>
      </c>
      <c r="W35">
        <v>0</v>
      </c>
      <c r="X35">
        <v>5.6</v>
      </c>
      <c r="Y35">
        <v>6.3</v>
      </c>
      <c r="AA35">
        <v>0</v>
      </c>
      <c r="AB35">
        <v>3</v>
      </c>
      <c r="AC35">
        <v>0</v>
      </c>
      <c r="AD35">
        <v>4</v>
      </c>
      <c r="AE35">
        <v>6.7</v>
      </c>
      <c r="AF35">
        <v>4.8</v>
      </c>
      <c r="AG35" t="s">
        <v>26</v>
      </c>
      <c r="AH35">
        <v>0</v>
      </c>
      <c r="AI35">
        <v>6.8</v>
      </c>
      <c r="AJ35">
        <v>8.6999999999999993</v>
      </c>
      <c r="AL35">
        <v>7</v>
      </c>
      <c r="AM35">
        <v>9</v>
      </c>
      <c r="AN35">
        <v>5</v>
      </c>
      <c r="AO35">
        <v>8</v>
      </c>
      <c r="AP35" t="s">
        <v>26</v>
      </c>
      <c r="AQ35">
        <v>0</v>
      </c>
      <c r="AR35">
        <v>10</v>
      </c>
      <c r="AS35">
        <v>9.3000000000000007</v>
      </c>
      <c r="AT35" t="s">
        <v>662</v>
      </c>
      <c r="AU35">
        <v>10</v>
      </c>
      <c r="AV35">
        <v>10</v>
      </c>
      <c r="AW35">
        <v>10</v>
      </c>
      <c r="AX35">
        <v>9.8000000000000007</v>
      </c>
      <c r="AY35">
        <v>10</v>
      </c>
      <c r="AZ35">
        <v>10</v>
      </c>
      <c r="BA35">
        <v>10</v>
      </c>
      <c r="BB35">
        <v>10</v>
      </c>
      <c r="BC35">
        <v>10</v>
      </c>
      <c r="BD35">
        <v>9.6</v>
      </c>
      <c r="BE35">
        <v>10</v>
      </c>
      <c r="BF35">
        <v>9</v>
      </c>
      <c r="BG35">
        <v>10</v>
      </c>
      <c r="BH35">
        <v>10</v>
      </c>
      <c r="BI35">
        <v>10</v>
      </c>
      <c r="BJ35">
        <v>9.5</v>
      </c>
    </row>
    <row r="36" spans="1:62" x14ac:dyDescent="0.35">
      <c r="A36" t="s">
        <v>436</v>
      </c>
      <c r="B36" t="s">
        <v>436</v>
      </c>
      <c r="C36" t="s">
        <v>402</v>
      </c>
      <c r="D36" t="s">
        <v>974</v>
      </c>
      <c r="E36" t="s">
        <v>437</v>
      </c>
      <c r="F36" t="s">
        <v>39</v>
      </c>
      <c r="G36" t="s">
        <v>23</v>
      </c>
      <c r="H36" t="s">
        <v>36</v>
      </c>
      <c r="I36">
        <v>0</v>
      </c>
      <c r="J36">
        <v>3.5</v>
      </c>
      <c r="L36">
        <v>37</v>
      </c>
      <c r="M36" t="s">
        <v>26</v>
      </c>
      <c r="N36">
        <v>5.4</v>
      </c>
      <c r="P36">
        <v>1.3</v>
      </c>
      <c r="Q36">
        <v>1.3</v>
      </c>
      <c r="R36">
        <v>2.8</v>
      </c>
      <c r="S36">
        <v>2.7</v>
      </c>
      <c r="T36">
        <v>5.3</v>
      </c>
      <c r="U36">
        <v>4.4000000000000004</v>
      </c>
      <c r="V36" t="s">
        <v>26</v>
      </c>
      <c r="W36">
        <v>0</v>
      </c>
      <c r="X36" t="s">
        <v>26</v>
      </c>
      <c r="Y36">
        <v>6.3</v>
      </c>
      <c r="AA36">
        <v>2.6</v>
      </c>
      <c r="AB36">
        <v>3</v>
      </c>
      <c r="AC36">
        <v>5.3</v>
      </c>
      <c r="AD36">
        <v>4</v>
      </c>
      <c r="AE36">
        <v>4.9000000000000004</v>
      </c>
      <c r="AF36">
        <v>4.8</v>
      </c>
      <c r="AG36" t="s">
        <v>26</v>
      </c>
      <c r="AH36">
        <v>0</v>
      </c>
      <c r="AI36" t="s">
        <v>26</v>
      </c>
      <c r="AJ36">
        <v>8.6999999999999993</v>
      </c>
      <c r="AL36">
        <v>8</v>
      </c>
      <c r="AM36">
        <v>9</v>
      </c>
      <c r="AN36">
        <v>8</v>
      </c>
      <c r="AO36">
        <v>8</v>
      </c>
      <c r="AP36" t="s">
        <v>26</v>
      </c>
      <c r="AQ36">
        <v>0</v>
      </c>
      <c r="AR36" t="s">
        <v>26</v>
      </c>
      <c r="AS36">
        <v>9.3000000000000007</v>
      </c>
      <c r="AU36" t="s">
        <v>26</v>
      </c>
      <c r="AV36">
        <v>10</v>
      </c>
      <c r="AW36" t="s">
        <v>26</v>
      </c>
      <c r="AX36">
        <v>9.8000000000000007</v>
      </c>
      <c r="AY36" t="s">
        <v>26</v>
      </c>
      <c r="AZ36">
        <v>10</v>
      </c>
      <c r="BA36" t="s">
        <v>26</v>
      </c>
      <c r="BB36">
        <v>10</v>
      </c>
      <c r="BC36" t="s">
        <v>26</v>
      </c>
      <c r="BD36">
        <v>9.6</v>
      </c>
      <c r="BE36" t="s">
        <v>26</v>
      </c>
      <c r="BF36">
        <v>9</v>
      </c>
      <c r="BG36" t="s">
        <v>26</v>
      </c>
      <c r="BH36">
        <v>10</v>
      </c>
      <c r="BI36" t="s">
        <v>26</v>
      </c>
      <c r="BJ36">
        <v>9.5</v>
      </c>
    </row>
    <row r="37" spans="1:62" x14ac:dyDescent="0.35">
      <c r="A37" t="s">
        <v>494</v>
      </c>
      <c r="B37" t="s">
        <v>494</v>
      </c>
      <c r="C37" t="s">
        <v>402</v>
      </c>
      <c r="D37" t="s">
        <v>975</v>
      </c>
      <c r="E37" t="s">
        <v>495</v>
      </c>
      <c r="F37" t="s">
        <v>39</v>
      </c>
      <c r="G37" t="s">
        <v>496</v>
      </c>
      <c r="H37" t="s">
        <v>36</v>
      </c>
      <c r="I37" t="s">
        <v>976</v>
      </c>
      <c r="J37">
        <v>7.7</v>
      </c>
      <c r="K37" t="s">
        <v>622</v>
      </c>
      <c r="L37">
        <v>2</v>
      </c>
      <c r="M37">
        <v>9.1</v>
      </c>
      <c r="N37">
        <v>5.4</v>
      </c>
      <c r="O37" t="s">
        <v>622</v>
      </c>
      <c r="P37">
        <v>9.1</v>
      </c>
      <c r="Q37">
        <v>1.3</v>
      </c>
      <c r="R37">
        <v>5.2</v>
      </c>
      <c r="S37">
        <v>2.7</v>
      </c>
      <c r="T37">
        <v>3.8</v>
      </c>
      <c r="U37">
        <v>4.4000000000000004</v>
      </c>
      <c r="V37" t="s">
        <v>26</v>
      </c>
      <c r="W37">
        <v>0</v>
      </c>
      <c r="X37">
        <v>8.9</v>
      </c>
      <c r="Y37">
        <v>6.3</v>
      </c>
      <c r="Z37" t="s">
        <v>622</v>
      </c>
      <c r="AA37">
        <v>3.4</v>
      </c>
      <c r="AB37">
        <v>3</v>
      </c>
      <c r="AC37">
        <v>5.9</v>
      </c>
      <c r="AD37">
        <v>4</v>
      </c>
      <c r="AE37">
        <v>9.9</v>
      </c>
      <c r="AF37">
        <v>4.8</v>
      </c>
      <c r="AG37" t="s">
        <v>26</v>
      </c>
      <c r="AH37">
        <v>0</v>
      </c>
      <c r="AI37">
        <v>8.1999999999999993</v>
      </c>
      <c r="AJ37">
        <v>8.6999999999999993</v>
      </c>
      <c r="AL37">
        <v>8</v>
      </c>
      <c r="AM37">
        <v>9</v>
      </c>
      <c r="AN37">
        <v>8</v>
      </c>
      <c r="AO37">
        <v>8</v>
      </c>
      <c r="AP37" t="s">
        <v>26</v>
      </c>
      <c r="AQ37">
        <v>0</v>
      </c>
      <c r="AR37">
        <v>9.8000000000000007</v>
      </c>
      <c r="AS37">
        <v>9.3000000000000007</v>
      </c>
      <c r="AT37" t="s">
        <v>605</v>
      </c>
      <c r="AU37">
        <v>10</v>
      </c>
      <c r="AV37">
        <v>10</v>
      </c>
      <c r="AW37">
        <v>9.6</v>
      </c>
      <c r="AX37">
        <v>9.8000000000000007</v>
      </c>
      <c r="AY37">
        <v>10</v>
      </c>
      <c r="AZ37">
        <v>10</v>
      </c>
      <c r="BA37">
        <v>9.6</v>
      </c>
      <c r="BB37">
        <v>10</v>
      </c>
      <c r="BC37">
        <v>9.6</v>
      </c>
      <c r="BD37">
        <v>9.6</v>
      </c>
      <c r="BE37">
        <v>10</v>
      </c>
      <c r="BF37">
        <v>9</v>
      </c>
      <c r="BG37">
        <v>9.1999999999999993</v>
      </c>
      <c r="BH37">
        <v>10</v>
      </c>
      <c r="BI37">
        <v>10</v>
      </c>
      <c r="BJ37">
        <v>9.5</v>
      </c>
    </row>
    <row r="38" spans="1:62" x14ac:dyDescent="0.35">
      <c r="A38" t="s">
        <v>458</v>
      </c>
      <c r="B38" t="s">
        <v>458</v>
      </c>
      <c r="C38" t="s">
        <v>402</v>
      </c>
      <c r="D38" t="s">
        <v>977</v>
      </c>
      <c r="E38" t="s">
        <v>459</v>
      </c>
      <c r="F38" t="s">
        <v>108</v>
      </c>
      <c r="G38" t="s">
        <v>23</v>
      </c>
      <c r="H38" t="s">
        <v>36</v>
      </c>
      <c r="I38">
        <v>0</v>
      </c>
      <c r="J38">
        <v>4</v>
      </c>
      <c r="L38">
        <v>31</v>
      </c>
      <c r="M38">
        <v>5.2</v>
      </c>
      <c r="N38">
        <v>5.4</v>
      </c>
      <c r="P38">
        <v>0.3</v>
      </c>
      <c r="Q38">
        <v>1.3</v>
      </c>
      <c r="R38">
        <v>3.6</v>
      </c>
      <c r="S38">
        <v>2.7</v>
      </c>
      <c r="T38">
        <v>5.8</v>
      </c>
      <c r="U38">
        <v>4.4000000000000004</v>
      </c>
      <c r="V38" t="s">
        <v>26</v>
      </c>
      <c r="W38">
        <v>0</v>
      </c>
      <c r="X38">
        <v>6.4</v>
      </c>
      <c r="Y38">
        <v>6.3</v>
      </c>
      <c r="AA38">
        <v>10</v>
      </c>
      <c r="AB38">
        <v>3</v>
      </c>
      <c r="AC38">
        <v>3.5</v>
      </c>
      <c r="AD38">
        <v>4</v>
      </c>
      <c r="AE38">
        <v>3.1</v>
      </c>
      <c r="AF38">
        <v>4.8</v>
      </c>
      <c r="AG38" t="s">
        <v>26</v>
      </c>
      <c r="AH38">
        <v>0</v>
      </c>
      <c r="AI38">
        <v>8.1999999999999993</v>
      </c>
      <c r="AJ38">
        <v>8.6999999999999993</v>
      </c>
      <c r="AL38">
        <v>8</v>
      </c>
      <c r="AM38">
        <v>9</v>
      </c>
      <c r="AN38">
        <v>8</v>
      </c>
      <c r="AO38">
        <v>8</v>
      </c>
      <c r="AP38" t="s">
        <v>26</v>
      </c>
      <c r="AQ38">
        <v>0</v>
      </c>
      <c r="AR38">
        <v>8.8000000000000007</v>
      </c>
      <c r="AS38">
        <v>9.3000000000000007</v>
      </c>
      <c r="AU38">
        <v>10</v>
      </c>
      <c r="AV38">
        <v>10</v>
      </c>
      <c r="AW38">
        <v>10</v>
      </c>
      <c r="AX38">
        <v>9.8000000000000007</v>
      </c>
      <c r="AY38">
        <v>9</v>
      </c>
      <c r="AZ38">
        <v>10</v>
      </c>
      <c r="BA38">
        <v>9</v>
      </c>
      <c r="BB38">
        <v>10</v>
      </c>
      <c r="BC38">
        <v>9</v>
      </c>
      <c r="BD38">
        <v>9.6</v>
      </c>
      <c r="BE38">
        <v>7</v>
      </c>
      <c r="BF38">
        <v>9</v>
      </c>
      <c r="BG38">
        <v>10</v>
      </c>
      <c r="BH38">
        <v>10</v>
      </c>
      <c r="BI38">
        <v>9</v>
      </c>
      <c r="BJ38">
        <v>9.5</v>
      </c>
    </row>
    <row r="39" spans="1:62" x14ac:dyDescent="0.35">
      <c r="A39" t="s">
        <v>449</v>
      </c>
      <c r="B39" t="s">
        <v>449</v>
      </c>
      <c r="C39" t="s">
        <v>402</v>
      </c>
      <c r="D39" t="s">
        <v>978</v>
      </c>
      <c r="E39" t="s">
        <v>450</v>
      </c>
      <c r="F39" t="s">
        <v>39</v>
      </c>
      <c r="G39" t="s">
        <v>23</v>
      </c>
      <c r="H39" t="s">
        <v>36</v>
      </c>
      <c r="I39">
        <v>0</v>
      </c>
      <c r="J39">
        <v>4.2</v>
      </c>
      <c r="L39">
        <v>23</v>
      </c>
      <c r="M39">
        <v>5.5</v>
      </c>
      <c r="N39">
        <v>5.4</v>
      </c>
      <c r="P39">
        <v>0.9</v>
      </c>
      <c r="Q39">
        <v>1.3</v>
      </c>
      <c r="R39">
        <v>3.6</v>
      </c>
      <c r="S39">
        <v>2.7</v>
      </c>
      <c r="T39">
        <v>4.4000000000000004</v>
      </c>
      <c r="U39">
        <v>4.4000000000000004</v>
      </c>
      <c r="V39" t="s">
        <v>26</v>
      </c>
      <c r="W39">
        <v>0</v>
      </c>
      <c r="X39">
        <v>6.6</v>
      </c>
      <c r="Y39">
        <v>6.3</v>
      </c>
      <c r="AA39">
        <v>2.6</v>
      </c>
      <c r="AB39">
        <v>3</v>
      </c>
      <c r="AC39">
        <v>5.3</v>
      </c>
      <c r="AD39">
        <v>4</v>
      </c>
      <c r="AE39">
        <v>4.9000000000000004</v>
      </c>
      <c r="AF39">
        <v>4.8</v>
      </c>
      <c r="AG39" t="s">
        <v>26</v>
      </c>
      <c r="AH39">
        <v>0</v>
      </c>
      <c r="AI39">
        <v>8.1999999999999993</v>
      </c>
      <c r="AJ39">
        <v>8.6999999999999993</v>
      </c>
      <c r="AL39">
        <v>8</v>
      </c>
      <c r="AM39">
        <v>9</v>
      </c>
      <c r="AN39">
        <v>8</v>
      </c>
      <c r="AO39">
        <v>8</v>
      </c>
      <c r="AP39" t="s">
        <v>26</v>
      </c>
      <c r="AQ39">
        <v>0</v>
      </c>
      <c r="AR39">
        <v>8.5</v>
      </c>
      <c r="AS39">
        <v>9.3000000000000007</v>
      </c>
      <c r="AU39">
        <v>10</v>
      </c>
      <c r="AV39">
        <v>10</v>
      </c>
      <c r="AW39">
        <v>10</v>
      </c>
      <c r="AX39">
        <v>9.8000000000000007</v>
      </c>
      <c r="AY39">
        <v>10</v>
      </c>
      <c r="AZ39">
        <v>10</v>
      </c>
      <c r="BA39">
        <v>10</v>
      </c>
      <c r="BB39">
        <v>10</v>
      </c>
      <c r="BC39">
        <v>10</v>
      </c>
      <c r="BD39">
        <v>9.6</v>
      </c>
      <c r="BE39">
        <v>10</v>
      </c>
      <c r="BF39">
        <v>9</v>
      </c>
      <c r="BG39">
        <v>10</v>
      </c>
      <c r="BH39">
        <v>10</v>
      </c>
      <c r="BI39">
        <v>10</v>
      </c>
      <c r="BJ39">
        <v>9.5</v>
      </c>
    </row>
    <row r="40" spans="1:62" x14ac:dyDescent="0.35">
      <c r="A40" t="s">
        <v>430</v>
      </c>
      <c r="B40" t="s">
        <v>430</v>
      </c>
      <c r="C40" t="s">
        <v>402</v>
      </c>
      <c r="D40" t="s">
        <v>979</v>
      </c>
      <c r="E40" t="s">
        <v>431</v>
      </c>
      <c r="F40" t="s">
        <v>39</v>
      </c>
      <c r="G40" t="s">
        <v>23</v>
      </c>
      <c r="H40" t="s">
        <v>33</v>
      </c>
      <c r="I40">
        <v>0</v>
      </c>
      <c r="J40">
        <v>4</v>
      </c>
      <c r="L40">
        <v>28</v>
      </c>
      <c r="M40">
        <v>5.2</v>
      </c>
      <c r="N40">
        <v>5.4</v>
      </c>
      <c r="P40">
        <v>0.6</v>
      </c>
      <c r="Q40">
        <v>1.3</v>
      </c>
      <c r="R40">
        <v>0</v>
      </c>
      <c r="S40">
        <v>2.7</v>
      </c>
      <c r="T40">
        <v>3.4</v>
      </c>
      <c r="U40">
        <v>4.4000000000000004</v>
      </c>
      <c r="V40" t="s">
        <v>26</v>
      </c>
      <c r="W40">
        <v>0</v>
      </c>
      <c r="X40">
        <v>7.9</v>
      </c>
      <c r="Y40">
        <v>6.3</v>
      </c>
      <c r="Z40" t="s">
        <v>605</v>
      </c>
      <c r="AA40">
        <v>6</v>
      </c>
      <c r="AB40">
        <v>3</v>
      </c>
      <c r="AC40">
        <v>4.3</v>
      </c>
      <c r="AD40">
        <v>4</v>
      </c>
      <c r="AE40">
        <v>8.1999999999999993</v>
      </c>
      <c r="AF40">
        <v>4.8</v>
      </c>
      <c r="AG40" t="s">
        <v>26</v>
      </c>
      <c r="AH40">
        <v>0</v>
      </c>
      <c r="AI40">
        <v>8.6999999999999993</v>
      </c>
      <c r="AJ40">
        <v>8.6999999999999993</v>
      </c>
      <c r="AL40">
        <v>9</v>
      </c>
      <c r="AM40">
        <v>9</v>
      </c>
      <c r="AN40">
        <v>7</v>
      </c>
      <c r="AO40">
        <v>8</v>
      </c>
      <c r="AP40" t="s">
        <v>26</v>
      </c>
      <c r="AQ40">
        <v>0</v>
      </c>
      <c r="AR40" t="s">
        <v>26</v>
      </c>
      <c r="AS40">
        <v>9.3000000000000007</v>
      </c>
      <c r="AU40" t="s">
        <v>26</v>
      </c>
      <c r="AV40">
        <v>10</v>
      </c>
      <c r="AW40" t="s">
        <v>26</v>
      </c>
      <c r="AX40">
        <v>9.8000000000000007</v>
      </c>
      <c r="AY40" t="s">
        <v>26</v>
      </c>
      <c r="AZ40">
        <v>10</v>
      </c>
      <c r="BA40" t="s">
        <v>26</v>
      </c>
      <c r="BB40">
        <v>10</v>
      </c>
      <c r="BC40" t="s">
        <v>26</v>
      </c>
      <c r="BD40">
        <v>9.6</v>
      </c>
      <c r="BE40" t="s">
        <v>26</v>
      </c>
      <c r="BF40">
        <v>9</v>
      </c>
      <c r="BG40" t="s">
        <v>26</v>
      </c>
      <c r="BH40">
        <v>10</v>
      </c>
      <c r="BI40" t="s">
        <v>26</v>
      </c>
      <c r="BJ40">
        <v>9.5</v>
      </c>
    </row>
    <row r="41" spans="1:62" x14ac:dyDescent="0.35">
      <c r="A41" t="s">
        <v>477</v>
      </c>
      <c r="B41" t="s">
        <v>477</v>
      </c>
      <c r="C41" t="s">
        <v>402</v>
      </c>
      <c r="D41" t="s">
        <v>980</v>
      </c>
      <c r="E41" t="s">
        <v>478</v>
      </c>
      <c r="F41" t="s">
        <v>39</v>
      </c>
      <c r="G41" t="s">
        <v>23</v>
      </c>
      <c r="H41" t="s">
        <v>33</v>
      </c>
      <c r="I41">
        <v>0</v>
      </c>
      <c r="J41">
        <v>4.7</v>
      </c>
      <c r="K41" t="s">
        <v>605</v>
      </c>
      <c r="L41">
        <v>9</v>
      </c>
      <c r="M41">
        <v>6.8</v>
      </c>
      <c r="N41">
        <v>5.4</v>
      </c>
      <c r="O41" t="s">
        <v>605</v>
      </c>
      <c r="P41">
        <v>3.1</v>
      </c>
      <c r="Q41">
        <v>1.3</v>
      </c>
      <c r="R41">
        <v>6.3</v>
      </c>
      <c r="S41">
        <v>2.7</v>
      </c>
      <c r="T41">
        <v>5.6</v>
      </c>
      <c r="U41">
        <v>4.4000000000000004</v>
      </c>
      <c r="V41" t="s">
        <v>26</v>
      </c>
      <c r="W41">
        <v>0</v>
      </c>
      <c r="X41">
        <v>6.6</v>
      </c>
      <c r="Y41">
        <v>6.3</v>
      </c>
      <c r="AA41">
        <v>7</v>
      </c>
      <c r="AB41">
        <v>3</v>
      </c>
      <c r="AC41">
        <v>5</v>
      </c>
      <c r="AD41">
        <v>4</v>
      </c>
      <c r="AE41">
        <v>4.2</v>
      </c>
      <c r="AF41">
        <v>4.8</v>
      </c>
      <c r="AG41" t="s">
        <v>26</v>
      </c>
      <c r="AH41">
        <v>0</v>
      </c>
      <c r="AI41">
        <v>8.6999999999999993</v>
      </c>
      <c r="AJ41">
        <v>8.6999999999999993</v>
      </c>
      <c r="AL41">
        <v>9</v>
      </c>
      <c r="AM41">
        <v>9</v>
      </c>
      <c r="AN41">
        <v>7</v>
      </c>
      <c r="AO41">
        <v>8</v>
      </c>
      <c r="AP41" t="s">
        <v>26</v>
      </c>
      <c r="AQ41">
        <v>0</v>
      </c>
      <c r="AR41" t="s">
        <v>26</v>
      </c>
      <c r="AS41">
        <v>9.3000000000000007</v>
      </c>
      <c r="AU41" t="s">
        <v>26</v>
      </c>
      <c r="AV41">
        <v>10</v>
      </c>
      <c r="AW41" t="s">
        <v>26</v>
      </c>
      <c r="AX41">
        <v>9.8000000000000007</v>
      </c>
      <c r="AY41" t="s">
        <v>26</v>
      </c>
      <c r="AZ41">
        <v>10</v>
      </c>
      <c r="BA41" t="s">
        <v>26</v>
      </c>
      <c r="BB41">
        <v>10</v>
      </c>
      <c r="BC41" t="s">
        <v>26</v>
      </c>
      <c r="BD41">
        <v>9.6</v>
      </c>
      <c r="BE41" t="s">
        <v>26</v>
      </c>
      <c r="BF41">
        <v>9</v>
      </c>
      <c r="BG41" t="s">
        <v>26</v>
      </c>
      <c r="BH41">
        <v>10</v>
      </c>
      <c r="BI41" t="s">
        <v>26</v>
      </c>
      <c r="BJ41">
        <v>9.5</v>
      </c>
    </row>
    <row r="42" spans="1:62" x14ac:dyDescent="0.35">
      <c r="A42" t="s">
        <v>409</v>
      </c>
      <c r="B42" t="s">
        <v>409</v>
      </c>
      <c r="C42" t="s">
        <v>402</v>
      </c>
      <c r="D42" t="s">
        <v>981</v>
      </c>
      <c r="E42" t="s">
        <v>410</v>
      </c>
      <c r="F42" t="s">
        <v>108</v>
      </c>
      <c r="G42" t="s">
        <v>23</v>
      </c>
      <c r="H42" t="s">
        <v>33</v>
      </c>
      <c r="I42">
        <v>0</v>
      </c>
      <c r="J42">
        <v>4</v>
      </c>
      <c r="L42">
        <v>30</v>
      </c>
      <c r="M42">
        <v>6.2</v>
      </c>
      <c r="N42">
        <v>5.4</v>
      </c>
      <c r="P42">
        <v>1.6</v>
      </c>
      <c r="Q42">
        <v>1.3</v>
      </c>
      <c r="R42">
        <v>6</v>
      </c>
      <c r="S42">
        <v>2.7</v>
      </c>
      <c r="T42">
        <v>4.2</v>
      </c>
      <c r="U42">
        <v>4.4000000000000004</v>
      </c>
      <c r="V42" t="s">
        <v>26</v>
      </c>
      <c r="W42">
        <v>0</v>
      </c>
      <c r="X42">
        <v>6</v>
      </c>
      <c r="Y42">
        <v>6.3</v>
      </c>
      <c r="AA42">
        <v>6</v>
      </c>
      <c r="AB42">
        <v>3</v>
      </c>
      <c r="AC42">
        <v>4.3</v>
      </c>
      <c r="AD42">
        <v>4</v>
      </c>
      <c r="AE42">
        <v>2.4</v>
      </c>
      <c r="AF42">
        <v>4.8</v>
      </c>
      <c r="AG42" t="s">
        <v>26</v>
      </c>
      <c r="AH42">
        <v>0</v>
      </c>
      <c r="AI42">
        <v>8.6999999999999993</v>
      </c>
      <c r="AJ42">
        <v>8.6999999999999993</v>
      </c>
      <c r="AL42">
        <v>9</v>
      </c>
      <c r="AM42">
        <v>9</v>
      </c>
      <c r="AN42">
        <v>7</v>
      </c>
      <c r="AO42">
        <v>8</v>
      </c>
      <c r="AP42" t="s">
        <v>26</v>
      </c>
      <c r="AQ42">
        <v>0</v>
      </c>
      <c r="AR42" t="s">
        <v>26</v>
      </c>
      <c r="AS42">
        <v>9.3000000000000007</v>
      </c>
      <c r="AU42" t="s">
        <v>26</v>
      </c>
      <c r="AV42">
        <v>10</v>
      </c>
      <c r="AW42" t="s">
        <v>26</v>
      </c>
      <c r="AX42">
        <v>9.8000000000000007</v>
      </c>
      <c r="AY42" t="s">
        <v>26</v>
      </c>
      <c r="AZ42">
        <v>10</v>
      </c>
      <c r="BA42" t="s">
        <v>26</v>
      </c>
      <c r="BB42">
        <v>10</v>
      </c>
      <c r="BC42" t="s">
        <v>26</v>
      </c>
      <c r="BD42">
        <v>9.6</v>
      </c>
      <c r="BE42" t="s">
        <v>26</v>
      </c>
      <c r="BF42">
        <v>9</v>
      </c>
      <c r="BG42" t="s">
        <v>26</v>
      </c>
      <c r="BH42">
        <v>10</v>
      </c>
      <c r="BI42" t="s">
        <v>26</v>
      </c>
      <c r="BJ42">
        <v>9.5</v>
      </c>
    </row>
    <row r="43" spans="1:62" x14ac:dyDescent="0.35">
      <c r="A43" t="s">
        <v>406</v>
      </c>
      <c r="B43" t="s">
        <v>406</v>
      </c>
      <c r="C43" t="s">
        <v>402</v>
      </c>
      <c r="D43" t="s">
        <v>982</v>
      </c>
      <c r="E43" t="s">
        <v>407</v>
      </c>
      <c r="F43" t="s">
        <v>39</v>
      </c>
      <c r="G43" t="s">
        <v>23</v>
      </c>
      <c r="H43" t="s">
        <v>33</v>
      </c>
      <c r="I43">
        <v>0</v>
      </c>
      <c r="J43">
        <v>3.3</v>
      </c>
      <c r="L43">
        <v>44</v>
      </c>
      <c r="M43">
        <v>5.3</v>
      </c>
      <c r="N43">
        <v>5.4</v>
      </c>
      <c r="P43">
        <v>0.9</v>
      </c>
      <c r="Q43">
        <v>1.3</v>
      </c>
      <c r="R43">
        <v>2.8</v>
      </c>
      <c r="S43">
        <v>2.7</v>
      </c>
      <c r="T43">
        <v>3.8</v>
      </c>
      <c r="U43">
        <v>4.4000000000000004</v>
      </c>
      <c r="V43" t="s">
        <v>26</v>
      </c>
      <c r="W43">
        <v>0</v>
      </c>
      <c r="X43">
        <v>5.7</v>
      </c>
      <c r="Y43">
        <v>6.3</v>
      </c>
      <c r="AA43">
        <v>6</v>
      </c>
      <c r="AB43">
        <v>3</v>
      </c>
      <c r="AC43">
        <v>4.3</v>
      </c>
      <c r="AD43">
        <v>4</v>
      </c>
      <c r="AE43">
        <v>2.7</v>
      </c>
      <c r="AF43">
        <v>4.8</v>
      </c>
      <c r="AG43" t="s">
        <v>26</v>
      </c>
      <c r="AH43">
        <v>0</v>
      </c>
      <c r="AI43">
        <v>8.6999999999999993</v>
      </c>
      <c r="AJ43">
        <v>8.6999999999999993</v>
      </c>
      <c r="AL43">
        <v>9</v>
      </c>
      <c r="AM43">
        <v>9</v>
      </c>
      <c r="AN43">
        <v>7</v>
      </c>
      <c r="AO43">
        <v>8</v>
      </c>
      <c r="AP43" t="s">
        <v>26</v>
      </c>
      <c r="AQ43">
        <v>0</v>
      </c>
      <c r="AR43" t="s">
        <v>26</v>
      </c>
      <c r="AS43">
        <v>9.3000000000000007</v>
      </c>
      <c r="AU43" t="s">
        <v>26</v>
      </c>
      <c r="AV43">
        <v>10</v>
      </c>
      <c r="AW43" t="s">
        <v>26</v>
      </c>
      <c r="AX43">
        <v>9.8000000000000007</v>
      </c>
      <c r="AY43" t="s">
        <v>26</v>
      </c>
      <c r="AZ43">
        <v>10</v>
      </c>
      <c r="BA43" t="s">
        <v>26</v>
      </c>
      <c r="BB43">
        <v>10</v>
      </c>
      <c r="BC43" t="s">
        <v>26</v>
      </c>
      <c r="BD43">
        <v>9.6</v>
      </c>
      <c r="BE43" t="s">
        <v>26</v>
      </c>
      <c r="BF43">
        <v>9</v>
      </c>
      <c r="BG43" t="s">
        <v>26</v>
      </c>
      <c r="BH43">
        <v>10</v>
      </c>
      <c r="BI43" t="s">
        <v>26</v>
      </c>
      <c r="BJ43">
        <v>9.5</v>
      </c>
    </row>
    <row r="44" spans="1:62" x14ac:dyDescent="0.35">
      <c r="A44" t="s">
        <v>554</v>
      </c>
      <c r="B44" t="s">
        <v>554</v>
      </c>
      <c r="C44" t="s">
        <v>402</v>
      </c>
      <c r="D44" t="s">
        <v>983</v>
      </c>
      <c r="E44" t="s">
        <v>555</v>
      </c>
      <c r="F44" t="s">
        <v>108</v>
      </c>
      <c r="G44" t="s">
        <v>23</v>
      </c>
      <c r="H44" t="s">
        <v>33</v>
      </c>
      <c r="I44">
        <v>0</v>
      </c>
      <c r="J44">
        <v>3.6</v>
      </c>
      <c r="L44">
        <v>36</v>
      </c>
      <c r="M44">
        <v>3.6</v>
      </c>
      <c r="N44">
        <v>5.4</v>
      </c>
      <c r="P44">
        <v>0.3</v>
      </c>
      <c r="Q44">
        <v>1.3</v>
      </c>
      <c r="R44">
        <v>0.6</v>
      </c>
      <c r="S44">
        <v>2.7</v>
      </c>
      <c r="T44">
        <v>0</v>
      </c>
      <c r="U44">
        <v>4.4000000000000004</v>
      </c>
      <c r="V44" t="s">
        <v>26</v>
      </c>
      <c r="W44">
        <v>0</v>
      </c>
      <c r="X44">
        <v>5.7</v>
      </c>
      <c r="Y44">
        <v>6.3</v>
      </c>
      <c r="AA44">
        <v>4</v>
      </c>
      <c r="AB44">
        <v>3</v>
      </c>
      <c r="AC44">
        <v>4.3</v>
      </c>
      <c r="AD44">
        <v>4</v>
      </c>
      <c r="AE44">
        <v>3.5</v>
      </c>
      <c r="AF44">
        <v>4.8</v>
      </c>
      <c r="AG44" t="s">
        <v>26</v>
      </c>
      <c r="AH44">
        <v>0</v>
      </c>
      <c r="AI44">
        <v>8.6999999999999993</v>
      </c>
      <c r="AJ44">
        <v>8.6999999999999993</v>
      </c>
      <c r="AL44">
        <v>9</v>
      </c>
      <c r="AM44">
        <v>9</v>
      </c>
      <c r="AN44">
        <v>7</v>
      </c>
      <c r="AO44">
        <v>8</v>
      </c>
      <c r="AP44" t="s">
        <v>26</v>
      </c>
      <c r="AQ44">
        <v>0</v>
      </c>
      <c r="AR44">
        <v>9.9</v>
      </c>
      <c r="AS44">
        <v>9.3000000000000007</v>
      </c>
      <c r="AT44" t="s">
        <v>605</v>
      </c>
      <c r="AU44">
        <v>10</v>
      </c>
      <c r="AV44">
        <v>10</v>
      </c>
      <c r="AW44">
        <v>10</v>
      </c>
      <c r="AX44">
        <v>9.8000000000000007</v>
      </c>
      <c r="AY44">
        <v>10</v>
      </c>
      <c r="AZ44">
        <v>10</v>
      </c>
      <c r="BA44">
        <v>10</v>
      </c>
      <c r="BB44">
        <v>10</v>
      </c>
      <c r="BC44">
        <v>9.6</v>
      </c>
      <c r="BD44">
        <v>9.6</v>
      </c>
      <c r="BE44">
        <v>9.6</v>
      </c>
      <c r="BF44">
        <v>9</v>
      </c>
      <c r="BG44">
        <v>10</v>
      </c>
      <c r="BH44">
        <v>10</v>
      </c>
      <c r="BI44">
        <v>10</v>
      </c>
      <c r="BJ44">
        <v>9.5</v>
      </c>
    </row>
    <row r="45" spans="1:62" x14ac:dyDescent="0.35">
      <c r="A45" t="s">
        <v>443</v>
      </c>
      <c r="B45" t="s">
        <v>443</v>
      </c>
      <c r="C45" t="s">
        <v>402</v>
      </c>
      <c r="D45" t="s">
        <v>984</v>
      </c>
      <c r="E45" t="s">
        <v>444</v>
      </c>
      <c r="F45" t="s">
        <v>39</v>
      </c>
      <c r="G45" t="s">
        <v>23</v>
      </c>
      <c r="H45" t="s">
        <v>33</v>
      </c>
      <c r="I45">
        <v>0</v>
      </c>
      <c r="J45">
        <v>5.8</v>
      </c>
      <c r="K45" t="s">
        <v>608</v>
      </c>
      <c r="L45">
        <v>4</v>
      </c>
      <c r="M45">
        <v>6.5</v>
      </c>
      <c r="N45">
        <v>5.4</v>
      </c>
      <c r="O45" t="s">
        <v>605</v>
      </c>
      <c r="P45">
        <v>3.4</v>
      </c>
      <c r="Q45">
        <v>1.3</v>
      </c>
      <c r="R45">
        <v>0</v>
      </c>
      <c r="S45">
        <v>2.7</v>
      </c>
      <c r="T45">
        <v>5.6</v>
      </c>
      <c r="U45">
        <v>4.4000000000000004</v>
      </c>
      <c r="V45" t="s">
        <v>26</v>
      </c>
      <c r="W45">
        <v>0</v>
      </c>
      <c r="X45">
        <v>8.3000000000000007</v>
      </c>
      <c r="Y45">
        <v>6.3</v>
      </c>
      <c r="Z45" t="s">
        <v>662</v>
      </c>
      <c r="AA45">
        <v>4</v>
      </c>
      <c r="AB45">
        <v>3</v>
      </c>
      <c r="AC45">
        <v>4</v>
      </c>
      <c r="AD45">
        <v>4</v>
      </c>
      <c r="AE45">
        <v>10</v>
      </c>
      <c r="AF45">
        <v>4.8</v>
      </c>
      <c r="AG45" t="s">
        <v>26</v>
      </c>
      <c r="AH45">
        <v>0</v>
      </c>
      <c r="AI45">
        <v>8.6999999999999993</v>
      </c>
      <c r="AJ45">
        <v>8.6999999999999993</v>
      </c>
      <c r="AL45">
        <v>9</v>
      </c>
      <c r="AM45">
        <v>9</v>
      </c>
      <c r="AN45">
        <v>7</v>
      </c>
      <c r="AO45">
        <v>8</v>
      </c>
      <c r="AP45" t="s">
        <v>26</v>
      </c>
      <c r="AQ45">
        <v>0</v>
      </c>
      <c r="AR45">
        <v>9.4</v>
      </c>
      <c r="AS45">
        <v>9.3000000000000007</v>
      </c>
      <c r="AU45">
        <v>9.5</v>
      </c>
      <c r="AV45">
        <v>10</v>
      </c>
      <c r="AW45">
        <v>9.5</v>
      </c>
      <c r="AX45">
        <v>9.8000000000000007</v>
      </c>
      <c r="AY45">
        <v>9</v>
      </c>
      <c r="AZ45">
        <v>10</v>
      </c>
      <c r="BA45">
        <v>9.5</v>
      </c>
      <c r="BB45">
        <v>10</v>
      </c>
      <c r="BC45">
        <v>9</v>
      </c>
      <c r="BD45">
        <v>9.6</v>
      </c>
      <c r="BE45">
        <v>8.5</v>
      </c>
      <c r="BF45">
        <v>9</v>
      </c>
      <c r="BG45">
        <v>9</v>
      </c>
      <c r="BH45">
        <v>10</v>
      </c>
      <c r="BI45">
        <v>9.5</v>
      </c>
      <c r="BJ45">
        <v>9.5</v>
      </c>
    </row>
    <row r="46" spans="1:62" x14ac:dyDescent="0.35">
      <c r="A46" t="s">
        <v>452</v>
      </c>
      <c r="B46" t="s">
        <v>452</v>
      </c>
      <c r="C46" t="s">
        <v>402</v>
      </c>
      <c r="D46" t="s">
        <v>985</v>
      </c>
      <c r="E46" t="s">
        <v>453</v>
      </c>
      <c r="F46" t="s">
        <v>39</v>
      </c>
      <c r="G46" t="s">
        <v>23</v>
      </c>
      <c r="H46" t="s">
        <v>33</v>
      </c>
      <c r="I46">
        <v>0</v>
      </c>
      <c r="J46">
        <v>4.3</v>
      </c>
      <c r="L46">
        <v>17</v>
      </c>
      <c r="M46">
        <v>5.6</v>
      </c>
      <c r="N46">
        <v>5.4</v>
      </c>
      <c r="P46">
        <v>1.6</v>
      </c>
      <c r="Q46">
        <v>1.3</v>
      </c>
      <c r="R46">
        <v>2.7</v>
      </c>
      <c r="S46">
        <v>2.7</v>
      </c>
      <c r="T46">
        <v>3.8</v>
      </c>
      <c r="U46">
        <v>4.4000000000000004</v>
      </c>
      <c r="V46" t="s">
        <v>26</v>
      </c>
      <c r="W46">
        <v>0</v>
      </c>
      <c r="X46">
        <v>6.3</v>
      </c>
      <c r="Y46">
        <v>6.3</v>
      </c>
      <c r="AA46">
        <v>2</v>
      </c>
      <c r="AB46">
        <v>3</v>
      </c>
      <c r="AC46">
        <v>3.2</v>
      </c>
      <c r="AD46">
        <v>4</v>
      </c>
      <c r="AE46">
        <v>6.3</v>
      </c>
      <c r="AF46">
        <v>4.8</v>
      </c>
      <c r="AG46" t="s">
        <v>26</v>
      </c>
      <c r="AH46">
        <v>0</v>
      </c>
      <c r="AI46">
        <v>8.6999999999999993</v>
      </c>
      <c r="AJ46">
        <v>8.6999999999999993</v>
      </c>
      <c r="AL46">
        <v>9</v>
      </c>
      <c r="AM46">
        <v>9</v>
      </c>
      <c r="AN46">
        <v>7</v>
      </c>
      <c r="AO46">
        <v>8</v>
      </c>
      <c r="AP46" t="s">
        <v>26</v>
      </c>
      <c r="AQ46">
        <v>0</v>
      </c>
      <c r="AR46">
        <v>9.1999999999999993</v>
      </c>
      <c r="AS46">
        <v>9.3000000000000007</v>
      </c>
      <c r="AU46">
        <v>10</v>
      </c>
      <c r="AV46">
        <v>10</v>
      </c>
      <c r="AW46">
        <v>9</v>
      </c>
      <c r="AX46">
        <v>9.8000000000000007</v>
      </c>
      <c r="AY46">
        <v>10</v>
      </c>
      <c r="AZ46">
        <v>10</v>
      </c>
      <c r="BA46">
        <v>10</v>
      </c>
      <c r="BB46">
        <v>10</v>
      </c>
      <c r="BC46">
        <v>10</v>
      </c>
      <c r="BD46">
        <v>9.6</v>
      </c>
      <c r="BE46">
        <v>9</v>
      </c>
      <c r="BF46">
        <v>9</v>
      </c>
      <c r="BG46">
        <v>10</v>
      </c>
      <c r="BH46">
        <v>10</v>
      </c>
      <c r="BI46">
        <v>9</v>
      </c>
      <c r="BJ46">
        <v>9.5</v>
      </c>
    </row>
    <row r="47" spans="1:62" x14ac:dyDescent="0.35">
      <c r="A47" t="s">
        <v>488</v>
      </c>
      <c r="B47" t="s">
        <v>488</v>
      </c>
      <c r="C47" t="s">
        <v>402</v>
      </c>
      <c r="D47" t="s">
        <v>986</v>
      </c>
      <c r="E47" t="s">
        <v>489</v>
      </c>
      <c r="F47" t="s">
        <v>39</v>
      </c>
      <c r="G47" t="s">
        <v>23</v>
      </c>
      <c r="H47" t="s">
        <v>33</v>
      </c>
      <c r="I47">
        <v>0</v>
      </c>
      <c r="J47">
        <v>3.5</v>
      </c>
      <c r="L47">
        <v>38</v>
      </c>
      <c r="M47">
        <v>4.8</v>
      </c>
      <c r="N47">
        <v>5.4</v>
      </c>
      <c r="P47">
        <v>0.3</v>
      </c>
      <c r="Q47">
        <v>1.3</v>
      </c>
      <c r="R47">
        <v>2.1</v>
      </c>
      <c r="S47">
        <v>2.7</v>
      </c>
      <c r="T47">
        <v>4.4000000000000004</v>
      </c>
      <c r="U47">
        <v>4.4000000000000004</v>
      </c>
      <c r="V47" t="s">
        <v>26</v>
      </c>
      <c r="W47">
        <v>0</v>
      </c>
      <c r="X47">
        <v>4.9000000000000004</v>
      </c>
      <c r="Y47">
        <v>6.3</v>
      </c>
      <c r="AA47">
        <v>2.2000000000000002</v>
      </c>
      <c r="AB47">
        <v>3</v>
      </c>
      <c r="AC47">
        <v>3.2</v>
      </c>
      <c r="AD47">
        <v>4</v>
      </c>
      <c r="AE47">
        <v>2.6</v>
      </c>
      <c r="AF47">
        <v>4.8</v>
      </c>
      <c r="AG47" t="s">
        <v>26</v>
      </c>
      <c r="AH47">
        <v>0</v>
      </c>
      <c r="AI47">
        <v>9.4</v>
      </c>
      <c r="AJ47">
        <v>8.6999999999999993</v>
      </c>
      <c r="AL47">
        <v>10</v>
      </c>
      <c r="AM47">
        <v>9</v>
      </c>
      <c r="AN47">
        <v>7</v>
      </c>
      <c r="AO47">
        <v>8</v>
      </c>
      <c r="AP47" t="s">
        <v>26</v>
      </c>
      <c r="AQ47">
        <v>0</v>
      </c>
      <c r="AR47">
        <v>9</v>
      </c>
      <c r="AS47">
        <v>9.3000000000000007</v>
      </c>
      <c r="AU47">
        <v>9</v>
      </c>
      <c r="AV47">
        <v>10</v>
      </c>
      <c r="AW47">
        <v>10</v>
      </c>
      <c r="AX47">
        <v>9.8000000000000007</v>
      </c>
      <c r="AY47">
        <v>10</v>
      </c>
      <c r="AZ47">
        <v>10</v>
      </c>
      <c r="BA47">
        <v>9</v>
      </c>
      <c r="BB47">
        <v>10</v>
      </c>
      <c r="BC47">
        <v>10</v>
      </c>
      <c r="BD47">
        <v>9.6</v>
      </c>
      <c r="BE47">
        <v>8</v>
      </c>
      <c r="BF47">
        <v>9</v>
      </c>
      <c r="BG47">
        <v>9</v>
      </c>
      <c r="BH47">
        <v>10</v>
      </c>
      <c r="BI47">
        <v>10</v>
      </c>
      <c r="BJ47">
        <v>9.5</v>
      </c>
    </row>
    <row r="48" spans="1:62" x14ac:dyDescent="0.35">
      <c r="A48" t="s">
        <v>511</v>
      </c>
      <c r="B48" t="s">
        <v>511</v>
      </c>
      <c r="C48" t="s">
        <v>402</v>
      </c>
      <c r="D48" t="s">
        <v>987</v>
      </c>
      <c r="E48" t="s">
        <v>512</v>
      </c>
      <c r="F48" t="s">
        <v>39</v>
      </c>
      <c r="G48" t="s">
        <v>23</v>
      </c>
      <c r="H48" t="s">
        <v>33</v>
      </c>
      <c r="I48">
        <v>0</v>
      </c>
      <c r="J48">
        <v>4.5</v>
      </c>
      <c r="L48">
        <v>13</v>
      </c>
      <c r="M48">
        <v>5.4</v>
      </c>
      <c r="N48">
        <v>5.4</v>
      </c>
      <c r="P48">
        <v>2.2000000000000002</v>
      </c>
      <c r="Q48">
        <v>1.3</v>
      </c>
      <c r="R48">
        <v>0</v>
      </c>
      <c r="S48">
        <v>2.7</v>
      </c>
      <c r="T48">
        <v>5.0999999999999996</v>
      </c>
      <c r="U48">
        <v>4.4000000000000004</v>
      </c>
      <c r="V48" t="s">
        <v>26</v>
      </c>
      <c r="W48">
        <v>0</v>
      </c>
      <c r="X48">
        <v>7.4</v>
      </c>
      <c r="Y48">
        <v>6.3</v>
      </c>
      <c r="Z48" t="s">
        <v>605</v>
      </c>
      <c r="AA48">
        <v>6</v>
      </c>
      <c r="AB48">
        <v>3</v>
      </c>
      <c r="AC48">
        <v>4.3</v>
      </c>
      <c r="AD48">
        <v>4</v>
      </c>
      <c r="AE48">
        <v>6.8</v>
      </c>
      <c r="AF48">
        <v>4.8</v>
      </c>
      <c r="AG48" t="s">
        <v>26</v>
      </c>
      <c r="AH48">
        <v>0</v>
      </c>
      <c r="AI48">
        <v>8.6999999999999993</v>
      </c>
      <c r="AJ48">
        <v>8.6999999999999993</v>
      </c>
      <c r="AL48">
        <v>9</v>
      </c>
      <c r="AM48">
        <v>9</v>
      </c>
      <c r="AN48">
        <v>7</v>
      </c>
      <c r="AO48">
        <v>8</v>
      </c>
      <c r="AP48" t="s">
        <v>26</v>
      </c>
      <c r="AQ48">
        <v>0</v>
      </c>
      <c r="AR48">
        <v>8.3000000000000007</v>
      </c>
      <c r="AS48">
        <v>9.3000000000000007</v>
      </c>
      <c r="AU48">
        <v>10</v>
      </c>
      <c r="AV48">
        <v>10</v>
      </c>
      <c r="AW48">
        <v>10</v>
      </c>
      <c r="AX48">
        <v>9.8000000000000007</v>
      </c>
      <c r="AY48">
        <v>8</v>
      </c>
      <c r="AZ48">
        <v>10</v>
      </c>
      <c r="BA48">
        <v>10</v>
      </c>
      <c r="BB48">
        <v>10</v>
      </c>
      <c r="BC48">
        <v>10</v>
      </c>
      <c r="BD48">
        <v>9.6</v>
      </c>
      <c r="BE48">
        <v>10</v>
      </c>
      <c r="BF48">
        <v>9</v>
      </c>
      <c r="BG48">
        <v>10</v>
      </c>
      <c r="BH48">
        <v>10</v>
      </c>
      <c r="BI48">
        <v>10</v>
      </c>
      <c r="BJ48">
        <v>9.5</v>
      </c>
    </row>
    <row r="49" spans="1:62" x14ac:dyDescent="0.35">
      <c r="A49" t="s">
        <v>536</v>
      </c>
      <c r="B49" t="s">
        <v>536</v>
      </c>
      <c r="C49" t="s">
        <v>402</v>
      </c>
      <c r="D49" t="s">
        <v>988</v>
      </c>
      <c r="E49" t="s">
        <v>537</v>
      </c>
      <c r="F49" t="s">
        <v>39</v>
      </c>
      <c r="G49" t="s">
        <v>23</v>
      </c>
      <c r="H49" t="s">
        <v>119</v>
      </c>
      <c r="I49">
        <v>0</v>
      </c>
      <c r="J49">
        <v>4.5999999999999996</v>
      </c>
      <c r="L49">
        <v>11</v>
      </c>
      <c r="M49">
        <v>6.2</v>
      </c>
      <c r="N49">
        <v>5.4</v>
      </c>
      <c r="P49">
        <v>2.8</v>
      </c>
      <c r="Q49">
        <v>1.3</v>
      </c>
      <c r="R49">
        <v>3.6</v>
      </c>
      <c r="S49">
        <v>2.7</v>
      </c>
      <c r="T49">
        <v>4.4000000000000004</v>
      </c>
      <c r="U49">
        <v>4.4000000000000004</v>
      </c>
      <c r="V49" t="s">
        <v>26</v>
      </c>
      <c r="W49">
        <v>0</v>
      </c>
      <c r="X49">
        <v>7</v>
      </c>
      <c r="Y49">
        <v>6.3</v>
      </c>
      <c r="AA49">
        <v>3.4</v>
      </c>
      <c r="AB49">
        <v>3</v>
      </c>
      <c r="AC49">
        <v>4</v>
      </c>
      <c r="AD49">
        <v>4</v>
      </c>
      <c r="AE49">
        <v>7.1</v>
      </c>
      <c r="AF49">
        <v>4.8</v>
      </c>
      <c r="AG49" t="s">
        <v>26</v>
      </c>
      <c r="AH49">
        <v>0</v>
      </c>
      <c r="AI49">
        <v>5.9</v>
      </c>
      <c r="AJ49">
        <v>8.6999999999999993</v>
      </c>
      <c r="AL49">
        <v>6</v>
      </c>
      <c r="AM49">
        <v>9</v>
      </c>
      <c r="AN49">
        <v>6</v>
      </c>
      <c r="AO49">
        <v>8</v>
      </c>
      <c r="AP49" t="s">
        <v>26</v>
      </c>
      <c r="AQ49">
        <v>0</v>
      </c>
      <c r="AR49">
        <v>9.6999999999999993</v>
      </c>
      <c r="AS49">
        <v>9.3000000000000007</v>
      </c>
      <c r="AU49">
        <v>9.5</v>
      </c>
      <c r="AV49">
        <v>10</v>
      </c>
      <c r="AW49">
        <v>9.5</v>
      </c>
      <c r="AX49">
        <v>9.8000000000000007</v>
      </c>
      <c r="AY49">
        <v>9.5</v>
      </c>
      <c r="AZ49">
        <v>10</v>
      </c>
      <c r="BA49">
        <v>9.5</v>
      </c>
      <c r="BB49">
        <v>10</v>
      </c>
      <c r="BC49">
        <v>9.5</v>
      </c>
      <c r="BD49">
        <v>9.6</v>
      </c>
      <c r="BE49">
        <v>9</v>
      </c>
      <c r="BF49">
        <v>9</v>
      </c>
      <c r="BG49">
        <v>10</v>
      </c>
      <c r="BH49">
        <v>10</v>
      </c>
      <c r="BI49">
        <v>10</v>
      </c>
      <c r="BJ49">
        <v>9.5</v>
      </c>
    </row>
    <row r="50" spans="1:62" x14ac:dyDescent="0.35">
      <c r="A50" t="s">
        <v>433</v>
      </c>
      <c r="B50" t="s">
        <v>433</v>
      </c>
      <c r="C50" t="s">
        <v>402</v>
      </c>
      <c r="D50" t="s">
        <v>989</v>
      </c>
      <c r="E50" t="s">
        <v>434</v>
      </c>
      <c r="F50" t="s">
        <v>24</v>
      </c>
      <c r="G50" t="s">
        <v>107</v>
      </c>
      <c r="H50" t="s">
        <v>119</v>
      </c>
      <c r="I50">
        <v>0</v>
      </c>
      <c r="J50">
        <v>4.4000000000000004</v>
      </c>
      <c r="L50">
        <v>16</v>
      </c>
      <c r="M50">
        <v>6.4</v>
      </c>
      <c r="N50">
        <v>5.4</v>
      </c>
      <c r="O50" t="s">
        <v>605</v>
      </c>
      <c r="P50">
        <v>2.5</v>
      </c>
      <c r="Q50">
        <v>1.3</v>
      </c>
      <c r="R50">
        <v>6.5</v>
      </c>
      <c r="S50">
        <v>2.7</v>
      </c>
      <c r="T50">
        <v>5.9</v>
      </c>
      <c r="U50">
        <v>4.4000000000000004</v>
      </c>
      <c r="V50" t="s">
        <v>26</v>
      </c>
      <c r="W50">
        <v>0</v>
      </c>
      <c r="X50">
        <v>6.3</v>
      </c>
      <c r="Y50">
        <v>6.3</v>
      </c>
      <c r="AA50">
        <v>8</v>
      </c>
      <c r="AB50">
        <v>3</v>
      </c>
      <c r="AC50">
        <v>7.2</v>
      </c>
      <c r="AD50">
        <v>4</v>
      </c>
      <c r="AE50">
        <v>1.2</v>
      </c>
      <c r="AF50">
        <v>4.8</v>
      </c>
      <c r="AG50" t="s">
        <v>26</v>
      </c>
      <c r="AH50">
        <v>0</v>
      </c>
      <c r="AI50">
        <v>5.9</v>
      </c>
      <c r="AJ50">
        <v>8.6999999999999993</v>
      </c>
      <c r="AL50">
        <v>6</v>
      </c>
      <c r="AM50">
        <v>9</v>
      </c>
      <c r="AN50">
        <v>6</v>
      </c>
      <c r="AO50">
        <v>8</v>
      </c>
      <c r="AP50" t="s">
        <v>26</v>
      </c>
      <c r="AQ50">
        <v>0</v>
      </c>
      <c r="AR50">
        <v>9.6</v>
      </c>
      <c r="AS50">
        <v>9.3000000000000007</v>
      </c>
      <c r="AU50">
        <v>10</v>
      </c>
      <c r="AV50">
        <v>10</v>
      </c>
      <c r="AW50">
        <v>9</v>
      </c>
      <c r="AX50">
        <v>9.8000000000000007</v>
      </c>
      <c r="AY50">
        <v>10</v>
      </c>
      <c r="AZ50">
        <v>10</v>
      </c>
      <c r="BA50">
        <v>10</v>
      </c>
      <c r="BB50">
        <v>10</v>
      </c>
      <c r="BC50">
        <v>8.5</v>
      </c>
      <c r="BD50">
        <v>9.6</v>
      </c>
      <c r="BE50">
        <v>8</v>
      </c>
      <c r="BF50">
        <v>9</v>
      </c>
      <c r="BG50">
        <v>10</v>
      </c>
      <c r="BH50">
        <v>10</v>
      </c>
      <c r="BI50">
        <v>10</v>
      </c>
      <c r="BJ50">
        <v>9.5</v>
      </c>
    </row>
    <row r="51" spans="1:62" x14ac:dyDescent="0.35">
      <c r="A51" t="s">
        <v>401</v>
      </c>
      <c r="B51" t="s">
        <v>401</v>
      </c>
      <c r="C51" t="s">
        <v>402</v>
      </c>
      <c r="D51" t="s">
        <v>990</v>
      </c>
      <c r="E51" t="s">
        <v>403</v>
      </c>
      <c r="F51" t="s">
        <v>39</v>
      </c>
      <c r="G51" t="s">
        <v>404</v>
      </c>
      <c r="H51" t="s">
        <v>397</v>
      </c>
      <c r="I51">
        <v>0</v>
      </c>
      <c r="J51">
        <v>4.4000000000000004</v>
      </c>
      <c r="L51">
        <v>15</v>
      </c>
      <c r="M51">
        <v>5.5</v>
      </c>
      <c r="N51">
        <v>5.4</v>
      </c>
      <c r="P51">
        <v>0.9</v>
      </c>
      <c r="Q51">
        <v>1.3</v>
      </c>
      <c r="R51">
        <v>3.7</v>
      </c>
      <c r="S51">
        <v>2.7</v>
      </c>
      <c r="T51">
        <v>8.3000000000000007</v>
      </c>
      <c r="U51">
        <v>4.4000000000000004</v>
      </c>
      <c r="V51" t="s">
        <v>26</v>
      </c>
      <c r="W51">
        <v>0</v>
      </c>
      <c r="X51">
        <v>7.3</v>
      </c>
      <c r="Y51">
        <v>6.3</v>
      </c>
      <c r="Z51" t="s">
        <v>605</v>
      </c>
      <c r="AA51">
        <v>4</v>
      </c>
      <c r="AB51">
        <v>3</v>
      </c>
      <c r="AC51">
        <v>0</v>
      </c>
      <c r="AD51">
        <v>4</v>
      </c>
      <c r="AE51">
        <v>8.1</v>
      </c>
      <c r="AF51">
        <v>4.8</v>
      </c>
      <c r="AG51" t="s">
        <v>26</v>
      </c>
      <c r="AH51">
        <v>0</v>
      </c>
      <c r="AI51">
        <v>6.6</v>
      </c>
      <c r="AJ51">
        <v>8.6999999999999993</v>
      </c>
      <c r="AL51">
        <v>7</v>
      </c>
      <c r="AM51">
        <v>9</v>
      </c>
      <c r="AN51">
        <v>5</v>
      </c>
      <c r="AO51">
        <v>8</v>
      </c>
      <c r="AP51" t="s">
        <v>26</v>
      </c>
      <c r="AQ51">
        <v>0</v>
      </c>
      <c r="AR51">
        <v>9.9</v>
      </c>
      <c r="AS51">
        <v>9.3000000000000007</v>
      </c>
      <c r="AT51" t="s">
        <v>608</v>
      </c>
      <c r="AU51">
        <v>10</v>
      </c>
      <c r="AV51">
        <v>10</v>
      </c>
      <c r="AW51">
        <v>10</v>
      </c>
      <c r="AX51">
        <v>9.8000000000000007</v>
      </c>
      <c r="AY51">
        <v>10</v>
      </c>
      <c r="AZ51">
        <v>10</v>
      </c>
      <c r="BA51">
        <v>10</v>
      </c>
      <c r="BB51">
        <v>10</v>
      </c>
      <c r="BC51">
        <v>9.6</v>
      </c>
      <c r="BD51">
        <v>9.6</v>
      </c>
      <c r="BE51">
        <v>9.6</v>
      </c>
      <c r="BF51">
        <v>9</v>
      </c>
      <c r="BG51">
        <v>10</v>
      </c>
      <c r="BH51">
        <v>10</v>
      </c>
      <c r="BI51">
        <v>10</v>
      </c>
      <c r="BJ51">
        <v>9.5</v>
      </c>
    </row>
  </sheetData>
  <conditionalFormatting sqref="E1">
    <cfRule type="duplicateValues" dxfId="2" priority="1"/>
  </conditionalFormatting>
  <conditionalFormatting sqref="E2:E51">
    <cfRule type="duplicateValues" dxfId="1"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NTFP Check</vt:lpstr>
      <vt:lpstr>RISE_lawyers</vt:lpstr>
      <vt:lpstr>All</vt:lpstr>
      <vt:lpstr>Private Capital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Jamie Judd</cp:lastModifiedBy>
  <dcterms:created xsi:type="dcterms:W3CDTF">2026-03-31T13:27:13Z</dcterms:created>
  <dcterms:modified xsi:type="dcterms:W3CDTF">2026-03-31T17:18:44Z</dcterms:modified>
</cp:coreProperties>
</file>